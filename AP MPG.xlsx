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s" sheetId="1" r:id="rId5"/>
    <sheet state="visible" name="REKON AP" sheetId="2" r:id="rId6"/>
    <sheet state="visible" name="PURCHASES" sheetId="3" r:id="rId7"/>
    <sheet state="visible" name="APOutstanding" sheetId="4" r:id="rId8"/>
    <sheet state="visible" name="Sheet3" sheetId="5" r:id="rId9"/>
    <sheet state="visible" name="JE" sheetId="6" r:id="rId10"/>
    <sheet state="visible" name="Margin" sheetId="7" r:id="rId11"/>
  </sheets>
  <definedNames>
    <definedName hidden="1" localSheetId="3" name="_xlnm._FilterDatabase">APOutstanding!$A$3:$AG$817</definedName>
  </definedNames>
  <calcPr/>
</workbook>
</file>

<file path=xl/sharedStrings.xml><?xml version="1.0" encoding="utf-8"?>
<sst xmlns="http://schemas.openxmlformats.org/spreadsheetml/2006/main" count="2898" uniqueCount="1215">
  <si>
    <t>1. Data laporan Stcok Alkes</t>
  </si>
  <si>
    <t>Customer</t>
  </si>
  <si>
    <t>No NPWP</t>
  </si>
  <si>
    <t>Item</t>
  </si>
  <si>
    <t>PO No.</t>
  </si>
  <si>
    <t>Date Invoice</t>
  </si>
  <si>
    <t>Invoice</t>
  </si>
  <si>
    <t>Date</t>
  </si>
  <si>
    <t>No Kwitansi</t>
  </si>
  <si>
    <t>Nilai Inv</t>
  </si>
  <si>
    <t xml:space="preserve">DPP </t>
  </si>
  <si>
    <t>DPP LAINNYA</t>
  </si>
  <si>
    <t>PPN Bendaharawan</t>
  </si>
  <si>
    <t xml:space="preserve">PPN </t>
  </si>
  <si>
    <t>PPh 23</t>
  </si>
  <si>
    <t>PPh 22</t>
  </si>
  <si>
    <t>Payment</t>
  </si>
  <si>
    <t>DO.NO</t>
  </si>
  <si>
    <t>Code</t>
  </si>
  <si>
    <t>No Faktur</t>
  </si>
  <si>
    <t xml:space="preserve">Payment </t>
  </si>
  <si>
    <t>Description</t>
  </si>
  <si>
    <t>a</t>
  </si>
  <si>
    <t>RUMAH SAKIT UMUM DAERAH CIBINONG KABUPATEN BOGOR</t>
  </si>
  <si>
    <t>656901832403000</t>
  </si>
  <si>
    <t>19/02/2025</t>
  </si>
  <si>
    <t>DINAS KESEHATAN KABUPATEN BOGOR</t>
  </si>
  <si>
    <t>1368901403000</t>
  </si>
  <si>
    <t>13/03/2025</t>
  </si>
  <si>
    <t>21/03/2025</t>
  </si>
  <si>
    <t>26/03/2025</t>
  </si>
  <si>
    <t>17/04/2025</t>
  </si>
  <si>
    <t>21/04/2025</t>
  </si>
  <si>
    <t>23/04/2025</t>
  </si>
  <si>
    <t>Puskesmas Gobang</t>
  </si>
  <si>
    <t>22/05/2025</t>
  </si>
  <si>
    <t>RUMAH SAKIT UMUM DAERAH KOTA DUMAI</t>
  </si>
  <si>
    <t>1211994212000</t>
  </si>
  <si>
    <t>18/06/2025</t>
  </si>
  <si>
    <t>20/06/2025</t>
  </si>
  <si>
    <t>24/06/2025</t>
  </si>
  <si>
    <t>PUSAT KESEHATAN MASYARAKAT BOGOR TENGAH KOTA BOGOR</t>
  </si>
  <si>
    <t>606032910404000</t>
  </si>
  <si>
    <t>15/07/2025</t>
  </si>
  <si>
    <t>17/07/2025</t>
  </si>
  <si>
    <t>24/07/2025</t>
  </si>
  <si>
    <t>28/07/2025</t>
  </si>
  <si>
    <t>13/08/2025</t>
  </si>
  <si>
    <t>15/08/2025</t>
  </si>
  <si>
    <t>22/08/2025</t>
  </si>
  <si>
    <t>29/08/2025</t>
  </si>
  <si>
    <t>Puskesmas BLUD Saketi</t>
  </si>
  <si>
    <t>1091031211360357</t>
  </si>
  <si>
    <t>15/09/2025</t>
  </si>
  <si>
    <t>Puskesmas Pasir Angin</t>
  </si>
  <si>
    <t>19/09/2025</t>
  </si>
  <si>
    <t>PUSKESMAS CIPEUCANG</t>
  </si>
  <si>
    <t>1091031211062312</t>
  </si>
  <si>
    <t>23/09/2025</t>
  </si>
  <si>
    <t>24/09/2025</t>
  </si>
  <si>
    <t>PERTAMINA BINA MEDIKA IHC</t>
  </si>
  <si>
    <t>10611671051000</t>
  </si>
  <si>
    <t>25/09/2025</t>
  </si>
  <si>
    <t>26/09/2025</t>
  </si>
  <si>
    <t>29/09/2025</t>
  </si>
  <si>
    <t>30/09/2025</t>
  </si>
  <si>
    <t>DINAS KESEHATAN KABUPATEN TASIKMALAYA</t>
  </si>
  <si>
    <t>630922045425000</t>
  </si>
  <si>
    <t>14/10/2025</t>
  </si>
  <si>
    <t>Puskesmas Gandoang</t>
  </si>
  <si>
    <t>16/10/2025</t>
  </si>
  <si>
    <t>17/10/2025</t>
  </si>
  <si>
    <t>PUSAT KESEHATAN MASYARAKAT KELAPA DUA KABUPATEN TANGERANG</t>
  </si>
  <si>
    <t>963133392452000</t>
  </si>
  <si>
    <t>22/10/2025</t>
  </si>
  <si>
    <t>RUMAH SAKIT UMUM DAERAH PASAR MINGGU PROVINSI DKI JAKARTA</t>
  </si>
  <si>
    <t>2783306017000</t>
  </si>
  <si>
    <t>DINES KESEHATAN KABUPATEN BOGOR</t>
  </si>
  <si>
    <t>24/10/2025</t>
  </si>
  <si>
    <t>27/10/2025</t>
  </si>
  <si>
    <t>30/10/2025</t>
  </si>
  <si>
    <t>Puskesmas Bojonggede</t>
  </si>
  <si>
    <t>324970403000</t>
  </si>
  <si>
    <t>14/11/2025</t>
  </si>
  <si>
    <t>17/11/2025</t>
  </si>
  <si>
    <t>18/11/2025</t>
  </si>
  <si>
    <t>PUSAT KESEHATAN MASYARAKAT KECAMATAN TANJUNG PRIOK - JAKARTA UTARA PROVINSI DKI JAKARTA</t>
  </si>
  <si>
    <t>1247048048000</t>
  </si>
  <si>
    <t>25/11/2025</t>
  </si>
  <si>
    <t>RUMAH SAKIT ISLAM  JAKARTA CEMPAKA PUTIH</t>
  </si>
  <si>
    <t>13611140073000</t>
  </si>
  <si>
    <t>26/11/2025</t>
  </si>
  <si>
    <t>UNIT PELAYANAN KESEHATAN KEMENKES RI DITJEN PELAYANAN KESEHATAN KEMENTERIAN KESEHATAN</t>
  </si>
  <si>
    <t>27/11/2025</t>
  </si>
  <si>
    <t>GM-INV/2025/12/MQ76GTB</t>
  </si>
  <si>
    <t>GM-INV/2025/12/VR9AHPL</t>
  </si>
  <si>
    <t>BADAN NASIONAL PENANGGULANGAN BENCANA BADAN NASIONAL PENANGGULANGAN BENCANA BADAN NASIONAL PENANGGULANGAN BENCANA</t>
  </si>
  <si>
    <t>SEKRETARIAT UTAMA BMKG BADAN METEOROLOGI, KLIMATOLOGI DAN GEOFISIKA BADAN METEOROLOGI, KLIMATOLOGI DAN GEOFISIKA</t>
  </si>
  <si>
    <t>RUMAH SAKIT UMUM DAERAH MALINGPING PROVINSI BANTEN</t>
  </si>
  <si>
    <t>MPG BCA</t>
  </si>
  <si>
    <t>Barang dan Jasa</t>
  </si>
  <si>
    <t>Jasa</t>
  </si>
  <si>
    <t>lampirkan link filenya disini</t>
  </si>
  <si>
    <t>Suppliers</t>
  </si>
  <si>
    <t>Sales Order</t>
  </si>
  <si>
    <t>Date Inv.</t>
  </si>
  <si>
    <t>Amount</t>
  </si>
  <si>
    <t>VAT</t>
  </si>
  <si>
    <t>PPH 23</t>
  </si>
  <si>
    <t>A/P</t>
  </si>
  <si>
    <t>Link Document</t>
  </si>
  <si>
    <t>Status</t>
  </si>
  <si>
    <t>Remark</t>
  </si>
  <si>
    <t>Tokopedia</t>
  </si>
  <si>
    <t>Pembelian Termometer PKM Balekambang</t>
  </si>
  <si>
    <t>Pembelian Termometer PKM</t>
  </si>
  <si>
    <t>Approved</t>
  </si>
  <si>
    <t>Shopee</t>
  </si>
  <si>
    <t xml:space="preserve">Pembelian Kursi, Meja dan Lemari PKM Gandoang </t>
  </si>
  <si>
    <t>Pembelian Pesanan PKM Gandoang.pdf</t>
  </si>
  <si>
    <t>Pembelian Composit Resin, Umblical, Bonding, Gludaten, Bisturi PKM DPT Saketi</t>
  </si>
  <si>
    <t>SURAT PESANAN PKM DPT SAKETI.jpeg</t>
  </si>
  <si>
    <t>PKM DPT SAKETI.pdf</t>
  </si>
  <si>
    <t>PT. Top Point Medical</t>
  </si>
  <si>
    <t>TP Infusion Set Advance</t>
  </si>
  <si>
    <t>Surat Pesanan RSPP</t>
  </si>
  <si>
    <t>PO Infusion Set - Top Point</t>
  </si>
  <si>
    <t>Invoice Top Point</t>
  </si>
  <si>
    <t>FP Infusion Set - Top Point</t>
  </si>
  <si>
    <t>Pembelian Gludenta DPT Saketi</t>
  </si>
  <si>
    <t>part of SO no.3</t>
  </si>
  <si>
    <t>Gludenta</t>
  </si>
  <si>
    <t>Top Point</t>
  </si>
  <si>
    <t>Pembelian Suntikan DPT Saketi</t>
  </si>
  <si>
    <t>22-08-1015 (pembelian top point)</t>
  </si>
  <si>
    <t>FP - Top Point.pdf</t>
  </si>
  <si>
    <t>Sarana Megamedilab Sejahtera (SMS)</t>
  </si>
  <si>
    <t xml:space="preserve">Pembelian Lampu </t>
  </si>
  <si>
    <t>RSUD Cibinong</t>
  </si>
  <si>
    <t>Invoice SMS</t>
  </si>
  <si>
    <t>FP - PT. SMS</t>
  </si>
  <si>
    <t>Pembelian Pesanan Plastik (PKM Cimandala)</t>
  </si>
  <si>
    <t>-Menyusul-</t>
  </si>
  <si>
    <t>Pesanan PKM Cimandala</t>
  </si>
  <si>
    <t>Pembelian Yellow dan Blue Tip (PKM Cangkurawok)</t>
  </si>
  <si>
    <t>surat-pesanan-EP-01K387EQ0896Y44BX6R9RSJ2FA (Pkm Cangkurawok)</t>
  </si>
  <si>
    <t>Pembelanjaan yellow dan blue tip (pkm cangkurawok) 26/8/25</t>
  </si>
  <si>
    <t>Pembelanjaan Pesanan  (PKM Pasir Angin)</t>
  </si>
  <si>
    <t>surat-pesanan-EP-01K381B70E6329EG57Q86XG5DH.pdf (PKM Pasir angin) 27-08-25</t>
  </si>
  <si>
    <t>Pembelanjaan Pesanan PKM Pasir Angin 27-08-25</t>
  </si>
  <si>
    <t>Pembelian TP Infusion Set Advance (RSPP)</t>
  </si>
  <si>
    <t>Surat Pesanan RSPP PO 2 (20-08-25)</t>
  </si>
  <si>
    <t>PO ke Top Point (20-08-25)</t>
  </si>
  <si>
    <t>Invoice TP (21-08-25)</t>
  </si>
  <si>
    <t>FP - Top Point (21-08-25)</t>
  </si>
  <si>
    <t>PT Demaz Noer Abadi</t>
  </si>
  <si>
    <t>Pembelian Pesanan (PKM Karyamekar) Test Strip</t>
  </si>
  <si>
    <t>Pesanan PKM Karya Mekar (28-08-25)</t>
  </si>
  <si>
    <t>PO MPG-270825008 Biosensor.pdf</t>
  </si>
  <si>
    <t>inv biosensor</t>
  </si>
  <si>
    <t xml:space="preserve">follow up FPnya danis </t>
  </si>
  <si>
    <t>PT. Elba Lab Medika</t>
  </si>
  <si>
    <t>Pembelian Pesanan (PKM Ciawi ) Uric acid dan Glucose</t>
  </si>
  <si>
    <t>surat-pesanan-EP-01K3Q5WHEXQ3VZNQBKWARSAMDH Pkm Ciawi Erba.pdf</t>
  </si>
  <si>
    <t>PO MPG-270825006 Elba Medika Revisi.pdf</t>
  </si>
  <si>
    <t>Inv Elba</t>
  </si>
  <si>
    <t>Pembelian Pesanan (PKM Karyamekar) Alcohol swab, blue dan yellow tip</t>
  </si>
  <si>
    <t>part of SO no.15</t>
  </si>
  <si>
    <t>Pembelanjaan PKM Karyamekar (sp 27-08-25)</t>
  </si>
  <si>
    <t xml:space="preserve">Shopee </t>
  </si>
  <si>
    <t>Pembelian Pesanan (PKM Pasir Angin) Apar 3kg</t>
  </si>
  <si>
    <t>surat-pesanan-EP-01K3T38R3TQ03RS3GZPYQRVWJ9 PKM Pasir Angin (Apar)</t>
  </si>
  <si>
    <t>PKM Pasir Angin - Apar 3kg</t>
  </si>
  <si>
    <t>PT. Burhan Sejahtera Mulia</t>
  </si>
  <si>
    <t>Pembelian Pesanan (PKM Karyamekar) Vacum Tube Plain</t>
  </si>
  <si>
    <t>Patt of SO np.15</t>
  </si>
  <si>
    <t>PO ke PT. BSM (vacum tube)</t>
  </si>
  <si>
    <t>inv bsm (vacume tube)</t>
  </si>
  <si>
    <t>fp akan di fu setelah barang tiba</t>
  </si>
  <si>
    <t>Pembelian Pesanan (PKM Bojong) cover glass dan bisturi</t>
  </si>
  <si>
    <t>Surat Pesanan PKM Bojong (3 Sep 2025)</t>
  </si>
  <si>
    <t>Bisturi dan Cover glass PKM Bojong</t>
  </si>
  <si>
    <t>Pembelian Pesanan (PKM Bojong) kassa steril</t>
  </si>
  <si>
    <t>Kassa Steril PKM Bojong</t>
  </si>
  <si>
    <t>Toko Pramuka</t>
  </si>
  <si>
    <t>Pembelian Pesanan (PKM Sentul) 10box Safeguard</t>
  </si>
  <si>
    <t>Safeguard PKM Sentul</t>
  </si>
  <si>
    <t>ditunda dl</t>
  </si>
  <si>
    <t xml:space="preserve">Pembelian Pesanan (RSPP) PO ke 3 </t>
  </si>
  <si>
    <t>Surat Pesanan RSPP (PO 3)</t>
  </si>
  <si>
    <t>PO ke Top Point (Pesanan RSPP PO 3)</t>
  </si>
  <si>
    <t>Inv TP (PO 3 RSPP)</t>
  </si>
  <si>
    <t>FP - Top Point (PO 3 RSPP)</t>
  </si>
  <si>
    <t>Pembelian Kekurangan Stock Suntikan RSUD</t>
  </si>
  <si>
    <t>Surat Pesanan Suntikan RSUD Cibinong</t>
  </si>
  <si>
    <t>PO ke TOP POINT (stok suntikan rsud)</t>
  </si>
  <si>
    <t>Inv TP (stok suntikan rsud)</t>
  </si>
  <si>
    <t>FP TP (stok suntikan rsud)</t>
  </si>
  <si>
    <t>Pembelian Reagen RSUD Cibinong (Nodin 15)</t>
  </si>
  <si>
    <t>SPH RSUD CIBINONG NODIN 15 (1).pdf</t>
  </si>
  <si>
    <t>nodin 15 rsud cibinong</t>
  </si>
  <si>
    <t>PO ke SMS (nodin 15 RSUD Cibinong)</t>
  </si>
  <si>
    <t xml:space="preserve">inv sms </t>
  </si>
  <si>
    <t>FP SMS (nodin 15 RSUD Cibinong)</t>
  </si>
  <si>
    <t>Pembelian Pesanan (PKM Bojong) Reagen Asam Urat</t>
  </si>
  <si>
    <t>part of SO no.20</t>
  </si>
  <si>
    <t>PO MPG-080925003 BSM.pdf</t>
  </si>
  <si>
    <t>Inv BSM</t>
  </si>
  <si>
    <t>akan di follow up</t>
  </si>
  <si>
    <t>Pembelanjaan Pesanan Tambahan (PKM Bojong) Carpule dan Plastik Sampah Medis</t>
  </si>
  <si>
    <t>Pesanan Tambahan PKM Bojong</t>
  </si>
  <si>
    <t>PT. Tirta Investama</t>
  </si>
  <si>
    <t>Pembaayaran Aqua Galon Gedung</t>
  </si>
  <si>
    <t>inv aqua</t>
  </si>
  <si>
    <t>fp aqua</t>
  </si>
  <si>
    <t>Pembellian Pesanan (RSPP) PO ke 4</t>
  </si>
  <si>
    <t>PO KE 4 RSPP</t>
  </si>
  <si>
    <t>po ke tp (rspp ke 4)</t>
  </si>
  <si>
    <t>INV TP : 034/TPM/IX/2025</t>
  </si>
  <si>
    <t>FP TP : 04002500280251436</t>
  </si>
  <si>
    <t>Gedung</t>
  </si>
  <si>
    <t>Pembayaran Listrik dan Parkir Gedung (pemakaian agustus)</t>
  </si>
  <si>
    <t>listrik parkir agustus.pdf</t>
  </si>
  <si>
    <t>Pembelian Kekurangan Plastik Sampah Medis (PKM Bojong)</t>
  </si>
  <si>
    <t>NOTA PERABOT KANTOR MATA PENSIL 09 25.pdf</t>
  </si>
  <si>
    <t>Pembelian Kekurangan Plastik PKM Bojong</t>
  </si>
  <si>
    <t>Pembelian Kontrol Kimia (PKM Balekambang)</t>
  </si>
  <si>
    <t xml:space="preserve">Pesanan Balekambang </t>
  </si>
  <si>
    <t>Kontrol Kimia</t>
  </si>
  <si>
    <t>Pembelian Pesanan (PKM Cipeucang)</t>
  </si>
  <si>
    <t>Surat Pesanan  BMHP PKM Cipeucang.pdf</t>
  </si>
  <si>
    <t>Pembelanjaan Pesanan PKM Cipeucang.pdf</t>
  </si>
  <si>
    <t>Pembelian Pesanan (PKM Kelapa Dua) Plastik Sampah</t>
  </si>
  <si>
    <t>SP Belanja Kebersihan Puskesmas Kelapa Dua September 2025.pdf</t>
  </si>
  <si>
    <t>plastik sampah pkm kelapa dua.pdf</t>
  </si>
  <si>
    <t>Pembelian Pesanan (PKM Kelapa Dua) Pengharum Ruangan spray dan gantung dahlia</t>
  </si>
  <si>
    <t>Pengahrum spray dan gantung Dahlia</t>
  </si>
  <si>
    <t>Pembelian Pesanan (PKM Kelapa Dua) tissue livi dan paseo</t>
  </si>
  <si>
    <t>tissue livi dan paseo.pdf</t>
  </si>
  <si>
    <t>Pembelian Pesanan (PKM Kelapa Dua) Baygon</t>
  </si>
  <si>
    <t>baygon.pdf</t>
  </si>
  <si>
    <t>Pembelian Pesanan (PKM Kelapa Dua) switzal dan minyak telon</t>
  </si>
  <si>
    <t>switzal dan minyak telon.pdf</t>
  </si>
  <si>
    <t>Pembelian Pesanan (PKM Kelapa Dua) kamper</t>
  </si>
  <si>
    <t>kamper dan pewangi kopi.pdf</t>
  </si>
  <si>
    <t>Pembelian Pesanan (PKM Kelapa Dua) tempat sampah</t>
  </si>
  <si>
    <t>tempat sampah shinpo</t>
  </si>
  <si>
    <t>Pembelian Pesanan (PKM Kelapa Dua) sapu,ember,sikat,keset,sapu plafon,air spray</t>
  </si>
  <si>
    <t>sikat,sapu,ember,keset,sapu plafon,automatic spray.pdf</t>
  </si>
  <si>
    <t>PT. Top Point</t>
  </si>
  <si>
    <t>Pembelian Pesanan RSPP PO ke 5</t>
  </si>
  <si>
    <t>Surat Pesanan RSPP Po 5</t>
  </si>
  <si>
    <t>PO ke TP RSPP PO 5</t>
  </si>
  <si>
    <t>RSPP PO 5</t>
  </si>
  <si>
    <t>FP TP PO 5</t>
  </si>
  <si>
    <t>PT. Sangiang Karya Mandiri</t>
  </si>
  <si>
    <t>Pembelian Pesanan Dinkes Tasikmalaya</t>
  </si>
  <si>
    <t>SP 46 Genta (1).pdf</t>
  </si>
  <si>
    <t>po ke pt.sangiang</t>
  </si>
  <si>
    <t>inv</t>
  </si>
  <si>
    <t>Pembelian Pesanan (PKM Kelapa Dua) mop pel, kain lap, sikat gagang</t>
  </si>
  <si>
    <t>mop pel, kain lap, sikat gagang.pdf</t>
  </si>
  <si>
    <t>Pembelian Pesanan (PKM Kelapa Dua) pembersih kaca</t>
  </si>
  <si>
    <t>Pembersih Kaca</t>
  </si>
  <si>
    <t>Pembelian Pesanan (PKM Kelapa Dua) hand sanitizer</t>
  </si>
  <si>
    <t>hand sanitizer</t>
  </si>
  <si>
    <t>Pembelian Pesanan (PKM Kelapa Dua) karbol, cuci tangan, cuci piring</t>
  </si>
  <si>
    <t>karbol,cucitangan,cucipiring</t>
  </si>
  <si>
    <t>Pembelian Pesanan (PKM Kelapa Dua) byclin</t>
  </si>
  <si>
    <t>byclin</t>
  </si>
  <si>
    <t>Pembelian Pesanan (PKM Kelapa Dua) porstex</t>
  </si>
  <si>
    <t>porstex</t>
  </si>
  <si>
    <t>Nama Barang</t>
  </si>
  <si>
    <t>Satuan/volume</t>
  </si>
  <si>
    <t>Banyaknya</t>
  </si>
  <si>
    <t>Sales</t>
  </si>
  <si>
    <t>PPN</t>
  </si>
  <si>
    <t>beli</t>
  </si>
  <si>
    <t>Harga</t>
  </si>
  <si>
    <t>Pembelian Pesanan (PKM Bojong Gede) Spons Sapu Lidi Sapu lantai kain pel</t>
  </si>
  <si>
    <t>surat-pesanan-EP-01K64RKYR001N8JKV3440C0J3N Pkm Bojong Gede (1).pdf</t>
  </si>
  <si>
    <t>Pembelanjaan PKM Bojong Gede (Spons^J Sapu Lidi^J Sapu lantai^J Pel).pdf</t>
  </si>
  <si>
    <t>egens</t>
  </si>
  <si>
    <t>25 pack</t>
  </si>
  <si>
    <t>Pembelian Pesanan (PKM Bojong Gede) Karbol dan Sabun cuci tangan</t>
  </si>
  <si>
    <t>Pembelanjaan PKM Bojong Gede (Karbol dan Sabun Cuci Tangan).pdf</t>
  </si>
  <si>
    <t>safety box</t>
  </si>
  <si>
    <t xml:space="preserve">5L </t>
  </si>
  <si>
    <t>Pembelian Pesanan (PKM Bojong Gede) Tissue</t>
  </si>
  <si>
    <t>Pembelian Pesanan PKM Bojong Gede (Tissue)</t>
  </si>
  <si>
    <t>bimaxima</t>
  </si>
  <si>
    <t>4x5ml</t>
  </si>
  <si>
    <t>PT. Bintang Setya Media</t>
  </si>
  <si>
    <t>Pembayaran Service Printer</t>
  </si>
  <si>
    <t>Service Printer</t>
  </si>
  <si>
    <t>SALES</t>
  </si>
  <si>
    <t>Pembelian Tinta Printer</t>
  </si>
  <si>
    <t>Pembelian Pesanan RS Suyoto</t>
  </si>
  <si>
    <t>Pesanan RS Suyoto</t>
  </si>
  <si>
    <t>PO ke TP (Pesanan RS Suyoto)</t>
  </si>
  <si>
    <t>inv TP (RS Suyoto)</t>
  </si>
  <si>
    <t>FP - Top Point (RS Suyoto)</t>
  </si>
  <si>
    <t>PT. Whira Pitoe Usaha Bersama</t>
  </si>
  <si>
    <t>Pembelian Biomaxima Biopath (Dinkes Tasikmalaya)</t>
  </si>
  <si>
    <t>Pembelian Barang ke PT.Whira</t>
  </si>
  <si>
    <t>Pembelian Egens Combo Diagnostic Kit Multi Drug Panel (Dinkes Tasikmalaya)</t>
  </si>
  <si>
    <t>Pembelian ke PT. Sangiang</t>
  </si>
  <si>
    <t>PT. BSM</t>
  </si>
  <si>
    <t xml:space="preserve">Pembelian Monetes </t>
  </si>
  <si>
    <t>Pembelian Pesanan Dinkes Tasik (PT BSM)</t>
  </si>
  <si>
    <t>Pramuka</t>
  </si>
  <si>
    <t xml:space="preserve">Pembelian 70 Box sarung tangan (Pesanan PKM Sentul) </t>
  </si>
  <si>
    <t>BMHP Sentul.pdf</t>
  </si>
  <si>
    <t>Sarung Tangan Latex</t>
  </si>
  <si>
    <t>Alcohol Swab (PKM SENTUL) 50 Box</t>
  </si>
  <si>
    <t>Alcohol swab</t>
  </si>
  <si>
    <t>Masker 50 Box (PKM Sentul)</t>
  </si>
  <si>
    <t>Masker Baymed Hijab</t>
  </si>
  <si>
    <t>Pembelian Spuit 3cc</t>
  </si>
  <si>
    <t>MPG-021025003 - Top Point (PKM Sentul).pdf</t>
  </si>
  <si>
    <t>tempo</t>
  </si>
  <si>
    <t>INV TP (6 okt 2025).pdf</t>
  </si>
  <si>
    <t>FP TP (6 okt 2025).pdf</t>
  </si>
  <si>
    <t>BSM</t>
  </si>
  <si>
    <t>Pembelian Tabung Plan Merah, Stik Asam Urat, Stik Kolestrol, EDTA 3ML (PKM CIAWI)</t>
  </si>
  <si>
    <t>surat-pesanan-EP-01K6M1B6X4Q02429HWGQBC58JY PKM CIAWI.pdf</t>
  </si>
  <si>
    <t>MPG-031025005 - PT. BSM ...pdf</t>
  </si>
  <si>
    <t>INV BSM 7/10/25</t>
  </si>
  <si>
    <t>shopee</t>
  </si>
  <si>
    <t>Pembelian Yellow Tip (PKM CIAWI)</t>
  </si>
  <si>
    <t>yellow tip pkm ciawi</t>
  </si>
  <si>
    <t>Pembelian Kartu Goldar (PKM CIAWI)</t>
  </si>
  <si>
    <t>Kartu Goldar PKM ciawi</t>
  </si>
  <si>
    <t>Pembelian Pot Urine (PKM CIAWI)</t>
  </si>
  <si>
    <t>Pot urine pkm ciawi</t>
  </si>
  <si>
    <t>Cashback pkm cihideng udik2, cogrek,cangkurawok</t>
  </si>
  <si>
    <t>PT. Wira Pithoe</t>
  </si>
  <si>
    <t>Pembelian Reagen Cholestrol (Dinkes Tasik)</t>
  </si>
  <si>
    <t>SP Dinkes Tasikmalaya</t>
  </si>
  <si>
    <t>INV - PT. WHIRA</t>
  </si>
  <si>
    <t>Pembelian Edta (Dinkes Tasik) dan untuk stock</t>
  </si>
  <si>
    <t>PO - BSM (dinkes tasik).pdf</t>
  </si>
  <si>
    <t>Inv BSM - 8/10/25</t>
  </si>
  <si>
    <t>Cover glass (Dinkes Tasik)</t>
  </si>
  <si>
    <t>cover glass (dinkes tasik).pdf</t>
  </si>
  <si>
    <t>PT. Biosensor</t>
  </si>
  <si>
    <t>Pembelian Stik Codefree (PKM CIAWI)</t>
  </si>
  <si>
    <t>MPG-031025004 - PO BIOSENSOR.pdf</t>
  </si>
  <si>
    <t>4356 - INV BIOSENSOR.pdf</t>
  </si>
  <si>
    <t>Cashback PKM Kelapa 2</t>
  </si>
  <si>
    <t>cashback pkm kelapa 2.pdf</t>
  </si>
  <si>
    <t>PT. Klipindo Plastik Pratama</t>
  </si>
  <si>
    <t>Pesanan Plastik (RSUD Ps.Minggu) 1.000 Pack dan pkm sentul 300 pack</t>
  </si>
  <si>
    <t>Rsud Pasar Minggu.pdf</t>
  </si>
  <si>
    <t>MPG-101025010 - PT. Klipindo Plastik Pratama.pdf</t>
  </si>
  <si>
    <t>Plastik Klip.pdf</t>
  </si>
  <si>
    <t>Pembelian Pesanan APAR 3.5 KG (PKM Bojong)</t>
  </si>
  <si>
    <t>surat-pesanan-EP-01K6M7R46NK0HCYZ9GCCRKJKVV Pkm Bojong.pdf</t>
  </si>
  <si>
    <t>apar 3,5 kg.pdf</t>
  </si>
  <si>
    <t>Pembelian Feeding Tube (RSUD DR. ADJIDARMO)</t>
  </si>
  <si>
    <t>SP RSUD Adjidarmo.pdf</t>
  </si>
  <si>
    <t>MPG-081025007 - Top Point (Feeding Tube).pdf</t>
  </si>
  <si>
    <t>Tempo</t>
  </si>
  <si>
    <t>dibyr pake bank apa?</t>
  </si>
  <si>
    <t>PT Wira Pithoe</t>
  </si>
  <si>
    <t>Pesanan Dinkes Tasik (koletsrol,trigiliserida,sgot,sgpt,ureum,kreatinin)</t>
  </si>
  <si>
    <t>Surat Pesanan Dinkes Tasikmalaya</t>
  </si>
  <si>
    <t>MPG-131025012 - PT WIRA PITHOE (dinkes tasik).pdf</t>
  </si>
  <si>
    <t>WPUB3523 PT MATA PENSIL GLOBALINDO (1).pdf</t>
  </si>
  <si>
    <t>PT. Dhyas Mitra Usaha</t>
  </si>
  <si>
    <t>Pesanan Dinkes Tasik (Pot urine, Alcohol swab, sarung tangan s/m)</t>
  </si>
  <si>
    <t>MPG-131025013 - PT. DHYAS (Dinkes Tasikmalaya).pdf</t>
  </si>
  <si>
    <t>024_ INV  PT MATA PENSIL GLOBALINDO.pdf</t>
  </si>
  <si>
    <t>PT. SGM</t>
  </si>
  <si>
    <t>Pesanan Dinkes Tasik (Goldar Set)</t>
  </si>
  <si>
    <t>MPG-131025015 - PT.SGM.pdf</t>
  </si>
  <si>
    <t>inv SGM (dinkes tasik)</t>
  </si>
  <si>
    <t>Pesanan Dinkes Tasik (Tes kehamilan,tabung edta,tabung gel,yellow white tip,urine p,led)</t>
  </si>
  <si>
    <t>MPG-131025014 -BSM (Dinkes Tasik).pdf</t>
  </si>
  <si>
    <t>Inv BSM (Pesanan Dinkes)</t>
  </si>
  <si>
    <t>Pesanan Dinkes Tasik (Kartu Goldar)</t>
  </si>
  <si>
    <t>Kartu Golongan Darah (Dinkes Tasik)</t>
  </si>
  <si>
    <t>Pesanan Dinkes Tasik (Rak Tabung)</t>
  </si>
  <si>
    <t>Rak Tabung ESR</t>
  </si>
  <si>
    <t>Pesanan Dinkes Tasik ( Tourniquet)</t>
  </si>
  <si>
    <t>Tourniquet (Dinkes Tasik)</t>
  </si>
  <si>
    <t>Pesanan Dinkes Tasik (Okplast)</t>
  </si>
  <si>
    <t>Okplast (Dinkes Tasik)</t>
  </si>
  <si>
    <t>Pesanan Dinkes Tasik (Masker)</t>
  </si>
  <si>
    <t>Masker (Dinkes Tasik)</t>
  </si>
  <si>
    <t>PT.Top Point</t>
  </si>
  <si>
    <t xml:space="preserve">Pesanan RSPP </t>
  </si>
  <si>
    <t>po rspp (6)</t>
  </si>
  <si>
    <t>MPG-011025001 - TOP POINT (Pesanan RSPP) ..pdf</t>
  </si>
  <si>
    <t>Inv TP (Po 6 RSPP).pdf</t>
  </si>
  <si>
    <t>FP - TP (po 6 rspp).pdf</t>
  </si>
  <si>
    <t>Galon Kantor (Pemakaian September)</t>
  </si>
  <si>
    <t>Galon Kantor (pemakaian september).pdf</t>
  </si>
  <si>
    <t>FP Galon Sept.pdf</t>
  </si>
  <si>
    <t>Pesanan Tambahan (Dinkes Tasik) Safety Box</t>
  </si>
  <si>
    <t>SP 53 mata pensil susulan add.jpg</t>
  </si>
  <si>
    <t>MPG-141025016 - PT. BSM (Safety Box).pdf</t>
  </si>
  <si>
    <t>Invoice BSM (Safety Box)</t>
  </si>
  <si>
    <t>PT Bintang Setya Media</t>
  </si>
  <si>
    <t>Tinta Printer (9-oct-25).pdf</t>
  </si>
  <si>
    <t>Tinta Printer (13-oct-25).pdf</t>
  </si>
  <si>
    <t>Pembelian Deckglass (Dinkes Tasik)</t>
  </si>
  <si>
    <t>MPG-141025017 - PT BSM (deckglass).pdf</t>
  </si>
  <si>
    <t xml:space="preserve">Deckglass </t>
  </si>
  <si>
    <t xml:space="preserve">Listrik dan Parkir Gedung </t>
  </si>
  <si>
    <t>tagihan listrik (pemakaian sept).pdf</t>
  </si>
  <si>
    <t>Pengajuan dinas tasik pa agus</t>
  </si>
  <si>
    <t>pengajuan dinas tasik.pdf</t>
  </si>
  <si>
    <t>Pembayaran CDAKB</t>
  </si>
  <si>
    <t>TRIDIA_SPB-DK-251423548NOJhF0707 (2).pdf</t>
  </si>
  <si>
    <t>Pemesanan PO Ke 8 (RSPP)</t>
  </si>
  <si>
    <t>sp rspp (po 8)</t>
  </si>
  <si>
    <t>MPG-131025011 - Top Point (RSPP).pdf</t>
  </si>
  <si>
    <t>Stock suntikan rspp</t>
  </si>
  <si>
    <t>RSPP - (PO KE 9)</t>
  </si>
  <si>
    <t>MPG-141025019 - Top Point (Stock RSPP).pdf</t>
  </si>
  <si>
    <t>Invoice Top Point.pdf</t>
  </si>
  <si>
    <t>FP --Top Point.pdf</t>
  </si>
  <si>
    <t>Lalamove antar barang pesanan rs adjidarmo</t>
  </si>
  <si>
    <t>Lalamove antar pesanan rs adjidarmo.pdf</t>
  </si>
  <si>
    <t>Advance rizky bertemu kepala pkm pasir angin</t>
  </si>
  <si>
    <t>pengajuan advance kibo.pdf</t>
  </si>
  <si>
    <t>Pembelian pesanan (UPK KEMENKES)</t>
  </si>
  <si>
    <t>surat-pesanan-EP-01K7DPKYXJ1AF4X8HQ0MZ3N8DV UPK KEMENKES.pdf</t>
  </si>
  <si>
    <t>Oral Gel (Pesanan UPK Kemenkes).pdf</t>
  </si>
  <si>
    <t>PT. MBC</t>
  </si>
  <si>
    <t>Pembelian ganti barang rusak (pkm balekambang)</t>
  </si>
  <si>
    <t>16-Okt-25</t>
  </si>
  <si>
    <t>MBC (kontrol hema).pdf</t>
  </si>
  <si>
    <t>FP MBC.pdf</t>
  </si>
  <si>
    <t>Reimburse Kibo (17 okt 25)</t>
  </si>
  <si>
    <t>17-okt-25</t>
  </si>
  <si>
    <t>reimburse pengiriman barang Rizky.pdf</t>
  </si>
  <si>
    <t>Pembelian GC Fuji ix 5 Pack (Pesanan PKM Cileungsi)</t>
  </si>
  <si>
    <t>sp gigi.pdf</t>
  </si>
  <si>
    <t>20-okt-25</t>
  </si>
  <si>
    <t>pkm cileungsi (gc fuji 5 pack).pdf</t>
  </si>
  <si>
    <t>PT. WHIRA PITOE</t>
  </si>
  <si>
    <t>Pembelian Reagen Asam urat (pesanan dinkes tasik)</t>
  </si>
  <si>
    <t>SP dinkes tasik (po 4).jpg</t>
  </si>
  <si>
    <t>MPG-211025023 - PT. WHIRA PITOE (URIC ACID BIOMAXIMA).pdf</t>
  </si>
  <si>
    <t>22-okt-25</t>
  </si>
  <si>
    <t>WPUB3702 PT MATA PENSIL GLOBALINDO.pdf</t>
  </si>
  <si>
    <t>Pembelian Spuit BD 5cc (pesanan dinkes tasik)</t>
  </si>
  <si>
    <t>MPG-221025025 - PT. BSM (SPUIT BD 5CC).pdf</t>
  </si>
  <si>
    <t>inv BSM Spuit BD 5cc.pdf</t>
  </si>
  <si>
    <t>PT. DHYAS MITRA USAHA</t>
  </si>
  <si>
    <t>Pembelian Okplast dan Alcohol Swab (Pesanan Dinkes tasik)</t>
  </si>
  <si>
    <t>MPG-221025024 - PT DHYAS MITRA USAHA (ALCOHOL SWAB DAN OKPLAST).pdf</t>
  </si>
  <si>
    <t>029_ INV PT MATA PENSIL GLOBALINDO.pdf</t>
  </si>
  <si>
    <t>029_  FP PT MATA PENSIL GLOBALINDO PT DHYAS.pdf</t>
  </si>
  <si>
    <t>Top Up petty cash</t>
  </si>
  <si>
    <t>Uang kecelakaan ka yudith</t>
  </si>
  <si>
    <t>Uang kecelakaan ka yudith.pdf</t>
  </si>
  <si>
    <t>Kasbon Oprasional Pak Nasir</t>
  </si>
  <si>
    <t>22-Okt-25</t>
  </si>
  <si>
    <t>PT. Tripatria</t>
  </si>
  <si>
    <t>Pembelian pesanan Dinkes Bogor</t>
  </si>
  <si>
    <t>surat-pesanan-EP-01K6WCTJWYE165YPZMK0EMZMER (1).pdf</t>
  </si>
  <si>
    <t>TEMPO</t>
  </si>
  <si>
    <t>INV Tripatria.pdf</t>
  </si>
  <si>
    <t>PT. SMS</t>
  </si>
  <si>
    <t>MPG-231025028 - PT. SMS.pdf</t>
  </si>
  <si>
    <t>INV SMS (DINKES BOGOR).pdf</t>
  </si>
  <si>
    <t>MPG-231025026 - PT. ELBA LAB MEDIKA.pdf</t>
  </si>
  <si>
    <t>PI MATA PENSIL 241025.pdf</t>
  </si>
  <si>
    <t>Reimburse ops yoga (23 okt 2025)</t>
  </si>
  <si>
    <t>Reimburse yoga 23 okt.pdf</t>
  </si>
  <si>
    <t>Cashback pkm gandoang3,pasir angin4,bojong2,bojong gede, karyamekar</t>
  </si>
  <si>
    <t>cashback pkm (23 agt 25).pdf</t>
  </si>
  <si>
    <t>wifi kantor sentul okt 25</t>
  </si>
  <si>
    <t>wifi sentul okt 25.pdf</t>
  </si>
  <si>
    <t>kasbon pak adrian adek kayu</t>
  </si>
  <si>
    <t>Pembayaran Eranya Cloud</t>
  </si>
  <si>
    <t>EAD.INV.1745.X.2025 (1).pdf</t>
  </si>
  <si>
    <t>Entertain Pak romi dan client</t>
  </si>
  <si>
    <t>Entertain Pak Romi &amp; Client.pdf</t>
  </si>
  <si>
    <t>Pembelian rinso 10 pack (pkm cileungsi)</t>
  </si>
  <si>
    <t>surat-pesanan-EP-01K7E2XN5Q0J6QA4FPP2GF0YT2 PKM CILEUNGSI (2).pdf</t>
  </si>
  <si>
    <t>Rinso 10 pack.pdf</t>
  </si>
  <si>
    <t>Pembelian tissue jolly 120 pack (pkm cileungsi)</t>
  </si>
  <si>
    <t>Tissue Jolly 120 pack.pdf</t>
  </si>
  <si>
    <t>Pembelian sapu dragon 4 (pkm cileungsi)</t>
  </si>
  <si>
    <t>Sapu Dragon 4.pdf</t>
  </si>
  <si>
    <t>Pembelian sapu plafon 2 (pkm cileungsi)</t>
  </si>
  <si>
    <t>Sapu Plafon 2.pdf</t>
  </si>
  <si>
    <t>Pembelian karbol 20 pacl (pkm cileungsi)</t>
  </si>
  <si>
    <t>Karbol 20 Pack.pdf</t>
  </si>
  <si>
    <t>Pembelian alat pel mop 4 (pkm cileungsi)</t>
  </si>
  <si>
    <t>alat pel mop.pdf</t>
  </si>
  <si>
    <t>Pembelian sabun cuci tangan 5 botol (pkm cileungsi)</t>
  </si>
  <si>
    <t>Sabun Cuci Tangan 5 Liter (5 Botol).pdf</t>
  </si>
  <si>
    <t>Pembelian sabun cuci piring 3 botol (pkm cileungsi)</t>
  </si>
  <si>
    <t>Sabun Cuci Piring 5 Liter (3 botol).pdf</t>
  </si>
  <si>
    <t>PT. Klipindo</t>
  </si>
  <si>
    <t>Pembelian Plastik Klip (pesanan rsud ciawi)</t>
  </si>
  <si>
    <t>SPK Plastik Obat RSUD Ciawi.pdf</t>
  </si>
  <si>
    <t>MPG-211025021 - PT. Klipindo Plastik (7x10).pdf</t>
  </si>
  <si>
    <t>INV 20 DUS PLASTIK KLIP (KLIPINDO PLASTIK).pdf</t>
  </si>
  <si>
    <t>Pembelian Plastik Klip (pesanan pkm jagakarsa)</t>
  </si>
  <si>
    <t>surat-pesanan-EP-01K88294HVAWHWZJHHEJQJR81J PKM Jagakarsa.pdf</t>
  </si>
  <si>
    <t>MPG-271025031 - PT KLIPINDO PLASTIK PRATAMA.pdf</t>
  </si>
  <si>
    <t>Plastik Klip (PKM Jagakarsa).pdf</t>
  </si>
  <si>
    <t>-</t>
  </si>
  <si>
    <t>Reimburse Ops Ali</t>
  </si>
  <si>
    <t>Reimburse Ali 27 okt.pdf</t>
  </si>
  <si>
    <t>Reimbuse Ops Kibo</t>
  </si>
  <si>
    <t>Reimbursw Kibo 27 Okt.pdf</t>
  </si>
  <si>
    <t>Top Up Petty Cash</t>
  </si>
  <si>
    <t>PT. WHIRA PITHOE</t>
  </si>
  <si>
    <t>Pembelian Biomaxima (pesanan dinkes tasik)</t>
  </si>
  <si>
    <t>sp dinkes tasik (po 5).pdf</t>
  </si>
  <si>
    <t>MPG-291025033 - PT. WHIRA PITHOE.pdf</t>
  </si>
  <si>
    <t>WPUB3815 PT MATA PENSIL GLOBALINDO.pdf</t>
  </si>
  <si>
    <t>PT. SANGIANG KARYA MANDIRI</t>
  </si>
  <si>
    <t>Pembelian Drug Test (pesanan dinkes tasik)</t>
  </si>
  <si>
    <t>MPG-291025034 - PT. SANGIANG KARYA MANDIRI.pdf</t>
  </si>
  <si>
    <t>INV PT SANGIANG 29 OKT.jpg</t>
  </si>
  <si>
    <t>Pembelian stik kolestrol asam urat (pesanan pkm bojong)</t>
  </si>
  <si>
    <t>Surat Pesanan PT MATA PENSIL tuk 2026 (1).pdf</t>
  </si>
  <si>
    <t>MPG-291025035 - PT. BSM .pdf</t>
  </si>
  <si>
    <t>inv bsm 29 okt 2025.jpg</t>
  </si>
  <si>
    <t>BELUM INVOICE, di 2026</t>
  </si>
  <si>
    <t>Pembelian codfree (pesanan pkm bojong)</t>
  </si>
  <si>
    <t>MPG-291025036 - PT. BIOSENSOR (CODFREE 65 BOX).pdf</t>
  </si>
  <si>
    <t>4715 - INV MATA PENSIL.pdf</t>
  </si>
  <si>
    <t>Pembelian 500 box kasa (pesanan pkm tj. priok)</t>
  </si>
  <si>
    <t>surat-pesanan-EP-01K87V4JVA710QSHBSRFDDCJ5H PKM TANJUNG PRIOK.pdf</t>
  </si>
  <si>
    <t>kasa.pdf</t>
  </si>
  <si>
    <t>Pembelian deckglass dan kartu goldar (Dinkes Tasik)</t>
  </si>
  <si>
    <t>SP Dinkes Tasik PO 6.PDF</t>
  </si>
  <si>
    <t>MPG-301025039 - PT. BSM (Deckglass 20x20 dan Kartu Goldar).pdf</t>
  </si>
  <si>
    <t>Inv BSM (Decglass, Kartu Goldar) Dinkes Tasik.jpg</t>
  </si>
  <si>
    <t>Pembelian reagen goldar (dinkes tasik)</t>
  </si>
  <si>
    <t>MPG-301025037 - PT. SGM (REAGEN GOLDAR).pdf</t>
  </si>
  <si>
    <t>Inv SGM (Reagen Goldar) Dinkes Tasik.jpg</t>
  </si>
  <si>
    <t>Pembelian widal set (pkm cijujung)</t>
  </si>
  <si>
    <t>surat-pesanan-EP-01K4YMFJH70YGA4K2NT8YQWFGR PKM CIJUJUNG.pdf</t>
  </si>
  <si>
    <t>MPG-301025038 - PT. SGM (widal).pdf</t>
  </si>
  <si>
    <t>Inv SGM (Widal) pkm cijujung.jpg</t>
  </si>
  <si>
    <t>Pembelian pasta devitalisasi (pkm kemuning)</t>
  </si>
  <si>
    <t>surat-pesanan-EP-01K8CDN1VM6E7AX4VMP1FQMR5B KEMUNING.pdf</t>
  </si>
  <si>
    <t>pasta devitalisasi non arsen.pdf</t>
  </si>
  <si>
    <t>Pembelian endoseal (pkm kemuning)</t>
  </si>
  <si>
    <t>edonseal.pdf</t>
  </si>
  <si>
    <t>Pembelian composit resin (pkm kemuning)</t>
  </si>
  <si>
    <t>Composit Resin.pdf</t>
  </si>
  <si>
    <t>Pembelian Bonding (pkm kemuning)</t>
  </si>
  <si>
    <t>Bonding.pdf</t>
  </si>
  <si>
    <t>Pembelian eugenol (pkm kemuning)</t>
  </si>
  <si>
    <t>Eugenol.pdf</t>
  </si>
  <si>
    <t>Pembelian cotton roll (pkm kemuning)</t>
  </si>
  <si>
    <t>cotton roll.pdf</t>
  </si>
  <si>
    <t>Pembelian etsa dental (pkm kemuning)</t>
  </si>
  <si>
    <t>Etsa Dental.pdf</t>
  </si>
  <si>
    <t>Pembelian plastik tiger (pkm cileungsi)</t>
  </si>
  <si>
    <t>plastik tiger.pdf</t>
  </si>
  <si>
    <t>Pembelian plastik sampah hitam 35x55 (pkm cileungsi)</t>
  </si>
  <si>
    <t>plastik sampah hitam 35x50.pdf</t>
  </si>
  <si>
    <t>Pembelian plastik sampah 60x100 (pkm cileungsi)</t>
  </si>
  <si>
    <t>Pembelian plastik sampah kuning (pkm cileungsi)</t>
  </si>
  <si>
    <t>sampah plastik kuning.pdf</t>
  </si>
  <si>
    <t xml:space="preserve">Top Up Petty Cash </t>
  </si>
  <si>
    <t>Rimbursen ops kibo 3 novemner</t>
  </si>
  <si>
    <t>reimburse kibo 3 nov.pdf</t>
  </si>
  <si>
    <t>Pembayaran Biznet</t>
  </si>
  <si>
    <t>METRONET_5501624441_1000666946_20251101_000000000270.PDF</t>
  </si>
  <si>
    <t>Pembelian Timbangan (pkm banjarsari)</t>
  </si>
  <si>
    <t>surat-pesanan-EP-01K8SQH6GS325BG71N1Y95RT64 (1).pdf</t>
  </si>
  <si>
    <t>Timbangan Digital.pdf</t>
  </si>
  <si>
    <t>Pembelian Kaca Mulut (pkm gandoang)</t>
  </si>
  <si>
    <t>surat-pesanan-EP-01K8WVQBT5XQ5RMP4ZMEG7DNZY.pdf</t>
  </si>
  <si>
    <t>Kaca Mulut (5).pdf</t>
  </si>
  <si>
    <t>Pembelian Bein Elevator (pkm gandoang)</t>
  </si>
  <si>
    <t>Bein Elevator 3mm.pdf</t>
  </si>
  <si>
    <t>Pembelian Sonde (pkm gandoang)</t>
  </si>
  <si>
    <t>Shonde Dental.pdf</t>
  </si>
  <si>
    <t>Pembelian Pinset (pkm gandoang)</t>
  </si>
  <si>
    <t>Pinset.pdf</t>
  </si>
  <si>
    <t xml:space="preserve">Pengajuan Laptop Syifa </t>
  </si>
  <si>
    <t>Pengajuan Laptop.pdf</t>
  </si>
  <si>
    <t>Reimburse Ops Pa Agus</t>
  </si>
  <si>
    <t>reimburse ops pa agus 5 nov.pdf</t>
  </si>
  <si>
    <t>Penggantian barang rusak pesanan</t>
  </si>
  <si>
    <t>MBC.pdf</t>
  </si>
  <si>
    <t>FP MBC 6 NOV.pdf</t>
  </si>
  <si>
    <t>PT. Anara</t>
  </si>
  <si>
    <t>Pembelian masker 400 box (pesanan pkm tj priok)</t>
  </si>
  <si>
    <t>surat-pesanan-EP-01K8MY1H7BRVKDXQZTE71Y197R PKM Tanjung Priok.pdf</t>
  </si>
  <si>
    <t>MPG-071125002 - PT. ANARA.pdf</t>
  </si>
  <si>
    <t>- PFI PT. MATA PENSIL GLOBALINDO - 07 NOVEMBER 2025.pdf</t>
  </si>
  <si>
    <t>Pembelian pesanan cv. meyda</t>
  </si>
  <si>
    <t>SP CV Meyda.pdf</t>
  </si>
  <si>
    <t>MPG-061125001 - PT. MULTIMEDILAB.pdf</t>
  </si>
  <si>
    <t>INV Multimedilab.pdf</t>
  </si>
  <si>
    <t>FP multimedilab (pesanan cv meyda).pdf</t>
  </si>
  <si>
    <t>Cashback Dinkes Tasik</t>
  </si>
  <si>
    <t>Cashback Dinkes Tasik.pdf</t>
  </si>
  <si>
    <t>Reimburse ops yoga 7 nov</t>
  </si>
  <si>
    <t>reimburse ops yoga 7 nov 25.pdf</t>
  </si>
  <si>
    <t>Reimburse ops ali 7 nov</t>
  </si>
  <si>
    <t>reimburse ops ali 7 nov.pdf</t>
  </si>
  <si>
    <t>Pembelian Pembersih Lantai (pkm gandoang)</t>
  </si>
  <si>
    <t>SP Gandoang (Percepatan).pdf</t>
  </si>
  <si>
    <t>Pembersih lantai 142 pack.pdf</t>
  </si>
  <si>
    <t>Pembelian Pembersih Toilet (pkm gandoang)</t>
  </si>
  <si>
    <t>Pembersih Toilet 35 Btl.pdf</t>
  </si>
  <si>
    <t>Pembelian Pengharum Ruangan (Pkm Gandoang)</t>
  </si>
  <si>
    <t>Pengharum Ruangan 6pcs.pdf</t>
  </si>
  <si>
    <t>Pembayaran Eranya Mp (periode okt)</t>
  </si>
  <si>
    <t>Eranya MP (periode okt).pdf</t>
  </si>
  <si>
    <t>PT.SMS</t>
  </si>
  <si>
    <t>Pembayaran pembelanjaan pesanan RSUD Cibinong (Nodin 17)</t>
  </si>
  <si>
    <t>Nodin 17 RSUD Cibinong.pdf</t>
  </si>
  <si>
    <t>Inv SMS (Nodin 17).pdf</t>
  </si>
  <si>
    <t>FP SMS (nodin 17).pdf</t>
  </si>
  <si>
    <t>Pembayaran pembelanjaan pesanan RSUD Cibinong (Nodin 18)</t>
  </si>
  <si>
    <t>Nodin 18 RSUD Cibinong.pdf</t>
  </si>
  <si>
    <t>INV SMS (Nodin 18).pdf</t>
  </si>
  <si>
    <t>Pemebelian Ethyl Cloride (pkm ciangsana)</t>
  </si>
  <si>
    <t>surat-pesanan-EP-Ciangsana-01K9VH9GNH2JE65Z93FG0NNK13 PKM Ciangsana.pdf</t>
  </si>
  <si>
    <t>Ethycolide Onemed.pdf</t>
  </si>
  <si>
    <t>Pembelian Glass Lomoner (pkm ciangsana)</t>
  </si>
  <si>
    <t>Glass Ionomer ART.pdf</t>
  </si>
  <si>
    <t>NBD</t>
  </si>
  <si>
    <t>Pembelian DS-DNA @50T</t>
  </si>
  <si>
    <t>Surat Pesanan CV.Meyda.pdf</t>
  </si>
  <si>
    <t>MPG-131125005 - PT.NBD.pdf</t>
  </si>
  <si>
    <t>INV NBD.pdf</t>
  </si>
  <si>
    <t>2 item yg dibeli?</t>
  </si>
  <si>
    <t>MBC</t>
  </si>
  <si>
    <t>Pembelian Strip HB (Pkm cibening)</t>
  </si>
  <si>
    <t>surat-pesanan-EP-Strip HB-01K9RY3MBC4XEEPB1P3J2NQWS4 Pkm Cibening Hb Mission.pdf</t>
  </si>
  <si>
    <t>MPG-131125004 - PT.MBC (Strip HB).pdf</t>
  </si>
  <si>
    <t>MBC - HB MISSION</t>
  </si>
  <si>
    <t>024763161615000-0400052592047591-0032796005048000-20251219094706.pdf</t>
  </si>
  <si>
    <t>Whira Phitoe</t>
  </si>
  <si>
    <t>Pembelian Ureum (dinkes tasik)</t>
  </si>
  <si>
    <t>Surat Pesanan Dinkes Tasik (7).pdf</t>
  </si>
  <si>
    <t>MPG-131125006 - PT. WHIRA PITOE.pdf</t>
  </si>
  <si>
    <t>WPUB4066 PT MATA PENSIL GLOBALINDO.pdf</t>
  </si>
  <si>
    <t>Pembelian urine 10p (dinkes tasik)</t>
  </si>
  <si>
    <t>MPG-141125007 - PT. BSM (Dinkes Tasik PO 7).pdf</t>
  </si>
  <si>
    <t>INV BSM MPG-141125007 .jpg</t>
  </si>
  <si>
    <t>Pembelian sarung tangan (dinkes tasik)</t>
  </si>
  <si>
    <t>Sarung Tangan s dan L (Dinkes Tasik).pdf</t>
  </si>
  <si>
    <t>Pembelian Fora 6 Glucose (dinkes tasik)</t>
  </si>
  <si>
    <t>Fora Stik Guldar (4 box).pdf</t>
  </si>
  <si>
    <t>Tagihan Listrik dan Parkir November</t>
  </si>
  <si>
    <t>Parkir &amp; Listrik gedung november.pdf</t>
  </si>
  <si>
    <t>Pembelian Tensi Aneroid Standing Manual (Pkm banjarsari)</t>
  </si>
  <si>
    <t>surat-pesanan-EP-01KA871HQ3S7XB8SQ2A8S5V66Q PKM Banjarsari Tensimeter.pdf</t>
  </si>
  <si>
    <t>Tensimeter Aneroid Manual Stending.pdf</t>
  </si>
  <si>
    <t>Pembelian kardus packing</t>
  </si>
  <si>
    <t>Stock Kardus Packing.pdf</t>
  </si>
  <si>
    <t>Cashback PKM Sentul</t>
  </si>
  <si>
    <t>Cashback PKM Sentul (18-Nov-25).pdf</t>
  </si>
  <si>
    <t>Pembelian kertas rim (pkm banjarsari)</t>
  </si>
  <si>
    <t>surat-pesanan-EP-01KAAKHMGMWNYCAJFVCJM37RMJ PKM Banjarsari  kertas HVS.pdf</t>
  </si>
  <si>
    <t>Kertas Rim .pdf</t>
  </si>
  <si>
    <t>Sewa Gedung Nov-Jan</t>
  </si>
  <si>
    <t>INVOICE MATA PENSIL NOV-JAN SEWA OFFICE.pdf</t>
  </si>
  <si>
    <t>Ops Yoga</t>
  </si>
  <si>
    <t>ops yoga 19 nov.pdf</t>
  </si>
  <si>
    <t>Pembelian pesanan rs adjidarmo</t>
  </si>
  <si>
    <t>150071025 Rp.8.000.000 SABIL (1).pdf</t>
  </si>
  <si>
    <t>Inv TP - Rs Adjidarmo.pdf</t>
  </si>
  <si>
    <t>FP - TP.pdf</t>
  </si>
  <si>
    <t>Pembelian suntikan (pesanan pkm ciangsana)</t>
  </si>
  <si>
    <t>surat-pesanan-EP-01KAFPBP4ZQ80WQ57KM2T1T7PR PKM Ciangsana Spuit.pdf</t>
  </si>
  <si>
    <t>MPG-201125009 - Top Point.pdf</t>
  </si>
  <si>
    <t>inv?</t>
  </si>
  <si>
    <t>Pembelian infus set (po 12 rspp)</t>
  </si>
  <si>
    <t>PO 12 RSPP.jpg</t>
  </si>
  <si>
    <t>MPG-201125010 - TOP POINT.pdf</t>
  </si>
  <si>
    <t>INV- Top Point (148).pdf</t>
  </si>
  <si>
    <t>FP - TP (148).pdf</t>
  </si>
  <si>
    <t>Pembelian suntikan (pesanan rs sukapura)</t>
  </si>
  <si>
    <t>SP RS SUKAPURA</t>
  </si>
  <si>
    <t>MPG-171125008 - PT. Top Point (RS Islam Sukapura).pdf</t>
  </si>
  <si>
    <t>INV - TP (144).pdf</t>
  </si>
  <si>
    <t>FP - TP (144).pdf</t>
  </si>
  <si>
    <t xml:space="preserve">TGP Stomach jd stok 35 item </t>
  </si>
  <si>
    <t>Aneva Palet</t>
  </si>
  <si>
    <t>Pembelian palet (pesanan pkm bojong)</t>
  </si>
  <si>
    <t>surat-pesanan-EP-01KADHRM679CXKJN1YBJRFN23G PKM Bojong Pallet.pdf</t>
  </si>
  <si>
    <t>MPG-211125015 - PT. ANEVA PALLET PLASTIK.pdf</t>
  </si>
  <si>
    <t>inv palet.pdf</t>
  </si>
  <si>
    <t>Pembelian pesanan (PKM Ciangsana)</t>
  </si>
  <si>
    <t>surat-pesanan-EP-01KAFSB154R1PDY1W80KBKP0W4  pkm ciangsana.pdf</t>
  </si>
  <si>
    <t>MPG-201125013 --- PT. BSM (Puskesmas Ciangsana).pdf</t>
  </si>
  <si>
    <t>INV BSM (PKM CIANGSANA).jpg</t>
  </si>
  <si>
    <t>PT. Dhyas</t>
  </si>
  <si>
    <t>Pembelian pesanan (pkm ciangsana)</t>
  </si>
  <si>
    <t>MPG-201125011 - PT DHYAS MITRA USAHA.pdf</t>
  </si>
  <si>
    <t>26-N0v-25</t>
  </si>
  <si>
    <t>036_ INV PT MATA PENSIL GLOBALINDO.pdf</t>
  </si>
  <si>
    <t>harga jual alcohol 12 rb, sarung tangan 60 rb</t>
  </si>
  <si>
    <t>MPG-201125012 - PT. ANARA.pdf</t>
  </si>
  <si>
    <t>PS00002021 - PFI PT. MATA PENSIL GLOBALINDO - 21 NOVEMBER 2025.pdf</t>
  </si>
  <si>
    <t>harga jual 8.1 jt</t>
  </si>
  <si>
    <t>Pembelian air apirtus 5L (pkm ciangsana)</t>
  </si>
  <si>
    <t>Air Spirtus 5L.pdf</t>
  </si>
  <si>
    <t>Pembelian oil imersi (pkm ciangsana)</t>
  </si>
  <si>
    <t>Oil Imersi (1).pdf</t>
  </si>
  <si>
    <t>Pembelian Pot urine (pkm ciangsana)</t>
  </si>
  <si>
    <t>Pot Urine 500 pcs (1).pdf</t>
  </si>
  <si>
    <t>Pembelian Alkohol 70% (pkm ciangsana)</t>
  </si>
  <si>
    <t>Alkohol 70%.pdf</t>
  </si>
  <si>
    <t>Pembelian Codfree (pkm ciangsana)</t>
  </si>
  <si>
    <t>MPG-201125014 - PT. BIOSENSOR (PKM Ciangsana).pdf</t>
  </si>
  <si>
    <t>Inv - Codefree (Pkm Ciangsana).pdf</t>
  </si>
  <si>
    <t>harga jual 17 jt</t>
  </si>
  <si>
    <t>Pembelian Bionorm (pkm ciangsana)</t>
  </si>
  <si>
    <t>MPG-241125016 - Whira Pithoe (PKM CIANGSANA).pdf</t>
  </si>
  <si>
    <t>WPUB4199 PT MATA PENSIL GLOBALINDO.pdf</t>
  </si>
  <si>
    <t>harga jual 8 jt</t>
  </si>
  <si>
    <t>Pembelian aquadest (pkm ciangsana)</t>
  </si>
  <si>
    <t>Aquadest 20L Pkm ciangsana.pdf</t>
  </si>
  <si>
    <t>harga jual 560 rb</t>
  </si>
  <si>
    <t>Pembelian object glass (pkm ciangsana)</t>
  </si>
  <si>
    <t>Object Glass.pdf</t>
  </si>
  <si>
    <t>harga jual 400 rb</t>
  </si>
  <si>
    <t>Pembelian Hypafix (pkm ciangsana)</t>
  </si>
  <si>
    <t>Hypafix pkm ciangsana.pdf</t>
  </si>
  <si>
    <t xml:space="preserve">harga jual 500 </t>
  </si>
  <si>
    <t>Pembelian Kasa gulung (pkm ciangsana)</t>
  </si>
  <si>
    <t>KASA GULUNG.pdf</t>
  </si>
  <si>
    <t>harga jual 1 jt</t>
  </si>
  <si>
    <t>Pembelian Tusuk gigi (ciangsana)</t>
  </si>
  <si>
    <t>Tusuk Gigi.pdf</t>
  </si>
  <si>
    <t xml:space="preserve">harga jual 200 </t>
  </si>
  <si>
    <t xml:space="preserve">Pembelian pesanan rsi sukapura </t>
  </si>
  <si>
    <t>MATA PENCYL 9905.pdf</t>
  </si>
  <si>
    <t>MPG-241125017 - TP (RSI SUKAPURA).pdf</t>
  </si>
  <si>
    <t>invoice tp.pdf</t>
  </si>
  <si>
    <t>Pembelian widal dan goldar (pkm ciangsana)</t>
  </si>
  <si>
    <t>MPG-051225006 - PT. SGM.pdf</t>
  </si>
  <si>
    <t>Inv SGM.jpg</t>
  </si>
  <si>
    <t>harga jual total 4.140.000</t>
  </si>
  <si>
    <t>blm dijalankan krn masih menunggu ketersediaan barang</t>
  </si>
  <si>
    <t>Pembellian media amies (pkm ciangsana)</t>
  </si>
  <si>
    <t>Media Amies.pdf</t>
  </si>
  <si>
    <t xml:space="preserve">Harga jual 250 </t>
  </si>
  <si>
    <t>Pembelian catgut, micripore, nebu mask anak dan dewasa (pkm cibeutung udik)</t>
  </si>
  <si>
    <t>surat-pesanan-EP-01KAG4BW9DVM2PBKDCV2TK7MYT pkm cibeuteung udik.pdf</t>
  </si>
  <si>
    <t>MPG-261125018 - PT. BSM (PKM CIBEUTEUNG UDIK).pdf</t>
  </si>
  <si>
    <t>INV BSM (PKM CIBEUTEUNG UDIK).jpg</t>
  </si>
  <si>
    <t>harga jual total 2.070.000</t>
  </si>
  <si>
    <t>Pembelian Suction (pkm cibeutung udik)</t>
  </si>
  <si>
    <t>Suction.pdf</t>
  </si>
  <si>
    <t>harga jual 194 rb</t>
  </si>
  <si>
    <t>Pembelian Gel anestesi precain (pkm cibeteung udik)</t>
  </si>
  <si>
    <t>Gel Anastesi Precain.pdf</t>
  </si>
  <si>
    <t>harga jual 420 rb</t>
  </si>
  <si>
    <t>Pembelian pulpevit no 1 (pkm cibeutung udik)</t>
  </si>
  <si>
    <t>Pulpevit no 1.pdf</t>
  </si>
  <si>
    <t>Pembelian cotton roll (pkm cibeutung udik)</t>
  </si>
  <si>
    <t>Cotton Roll PKM Cibeuteung Udik.pdf</t>
  </si>
  <si>
    <t>harga jual 150 rb</t>
  </si>
  <si>
    <t>dana support kegiatan pkm cileungsi dan gandoang</t>
  </si>
  <si>
    <t>dana support kegiatan pkm cileungsi &amp; ga.pdf</t>
  </si>
  <si>
    <t>Pembelian urinalysis bilevel (pkm ciangsana)</t>
  </si>
  <si>
    <t>MPG-271125020 - PT. KIRANA JAYA LESTARI.pdf</t>
  </si>
  <si>
    <t>Inv 00807 PT MPG.pdf</t>
  </si>
  <si>
    <t>OutputTaxInvoice-85d3b01b-88d2-4399-8d84-f32a359f0c18-0808531313034000-04002500389863592-0024876047028000.pdf</t>
  </si>
  <si>
    <t>harga jual 9.390.000</t>
  </si>
  <si>
    <t>Pembelian AC (Pkm pasir angin)</t>
  </si>
  <si>
    <t>surat-pesanan-EP-01KAJ9N8FKHYX0JFJ0SC8PSB33 Pasir Angin AC.pdf</t>
  </si>
  <si>
    <t>MPG-271125019 - AC WAHANA.pdf</t>
  </si>
  <si>
    <t>INVOICE UNIT AC PT MATA PENSIL GLOBALINDO.pdf</t>
  </si>
  <si>
    <t>harga jual 15.540.000</t>
  </si>
  <si>
    <t>Pembelian kekurangan nebu mask dewasa (pkm cibeutung udik)</t>
  </si>
  <si>
    <t>MPG-271125021 - PT.BSM.pdf</t>
  </si>
  <si>
    <t>Inv BSM Nebu Mask Dewasa.jpg</t>
  </si>
  <si>
    <t>harga jual 550</t>
  </si>
  <si>
    <t>Pembelian kekurangan suntikan (pkm ciangsana)</t>
  </si>
  <si>
    <t>inv top point.pdf</t>
  </si>
  <si>
    <t>Pembelian imersi (pkm ciangsana)</t>
  </si>
  <si>
    <t>Imersi .pdf</t>
  </si>
  <si>
    <t>Virtual office Diva</t>
  </si>
  <si>
    <t>Proforma Invoice - PT. DIVA SINERGI ADIPRADANA - PI20255341.pdf</t>
  </si>
  <si>
    <t>Pembelian stabilizer 1500 va(pkm pasir angin)</t>
  </si>
  <si>
    <t>surat-pesanan-EP-01KAJJ7XG8T55T6Y82NNTXTJD7 Pasir Angin  Stabilizer.pdf</t>
  </si>
  <si>
    <t>Stabilizer 1500va .pdf</t>
  </si>
  <si>
    <t>harga jual 2.420.000</t>
  </si>
  <si>
    <t xml:space="preserve">Pembelian stabilizer 1000 va (pkm pasir angin) </t>
  </si>
  <si>
    <t>Stabilizer 1000 va .pdf</t>
  </si>
  <si>
    <t>harga jual 1.560.000</t>
  </si>
  <si>
    <t>Pembayaran Tempo SMS (RSUD CIBINONG) 6291</t>
  </si>
  <si>
    <t>Pembayaran SMS (Rsud Cibinong).pdf</t>
  </si>
  <si>
    <t>FP SMS (12.335.984).pdf</t>
  </si>
  <si>
    <t xml:space="preserve">sudah dibyr </t>
  </si>
  <si>
    <t>Pembayaran Tempo SMS (RSUD CIBINONG) 6473</t>
  </si>
  <si>
    <t>Nodin 16 Rsud Cibinong.pdf</t>
  </si>
  <si>
    <t>Pembayaran SMS (RSUD Cibinong) 6473.pdf</t>
  </si>
  <si>
    <t>FP SMS (15.596.055) 6473.pdf</t>
  </si>
  <si>
    <t>v</t>
  </si>
  <si>
    <t>Pembayaran Tempo SMS (RSUD CIBINONG) 6578</t>
  </si>
  <si>
    <t>Pembayaran SMS (RSUD Cibinong) 6578.pdf</t>
  </si>
  <si>
    <t>FP SMS (12.850.470) 6578.pdf</t>
  </si>
  <si>
    <t>Pembayaran Tempo SMS (RSUD CIBINONG) 6063</t>
  </si>
  <si>
    <t>Pembayaran SMS (RSUD Cibinong) 6453.pdf</t>
  </si>
  <si>
    <t>FP SMS (13.635.251).pdf</t>
  </si>
  <si>
    <t xml:space="preserve">Pembayaran Tempo SMS (RSUD CIBINONG) </t>
  </si>
  <si>
    <t>NODIN 16 RSUD CIBINONG (M-6 FR).jpeg</t>
  </si>
  <si>
    <t>SPH RSUD CIBINONG NODIN 16 23 SEPTEMBER.pdf</t>
  </si>
  <si>
    <t>Pembayaran MBC (Rsud Cibinong).pdf</t>
  </si>
  <si>
    <t>Pemesanan TP (PO 13 RSPP)</t>
  </si>
  <si>
    <t>PO RSPP 13.jpeg</t>
  </si>
  <si>
    <t>MPG-011225001 - PT. TOP POINT (PO 13).pdf</t>
  </si>
  <si>
    <t>inv tp.pdf</t>
  </si>
  <si>
    <t>Pembelian PC (Pkm pasir angin)</t>
  </si>
  <si>
    <t>surat-pesanan-EP-01KAJD9AWQAHCSP25N9NYMFAGH PKM Pasir Angin laptop.pdf</t>
  </si>
  <si>
    <t>PO?</t>
  </si>
  <si>
    <t>PC ASUS.pdf</t>
  </si>
  <si>
    <t>Strip HB Cibening</t>
  </si>
  <si>
    <t>MPG-021225002 - PT. MBC.pdf</t>
  </si>
  <si>
    <t>INV MBC STRIP HB MISION.jpeg</t>
  </si>
  <si>
    <t>Label Stiker</t>
  </si>
  <si>
    <t>Invoice Label Stiker.pdf</t>
  </si>
  <si>
    <t>Pembayaran Padi Asabri</t>
  </si>
  <si>
    <t>PADI ASABRI.pdf</t>
  </si>
  <si>
    <t>Pembelian Pesanan dinkes tasik</t>
  </si>
  <si>
    <t>SP - Dinkes Tasik.pdf</t>
  </si>
  <si>
    <t>4 des 25</t>
  </si>
  <si>
    <t>INV BSM (DINKES TASIK).jpg</t>
  </si>
  <si>
    <t>INV SANGIANG (DINKES TASIK).jpg</t>
  </si>
  <si>
    <t>WPUB4383 PT MATA PENCIL GLOBALINDO.pdf</t>
  </si>
  <si>
    <t>Bensin dan entertain rsud cibinong</t>
  </si>
  <si>
    <t>bensin &amp; entertain cibinong.pdf</t>
  </si>
  <si>
    <t>Pembelian Laptop 4 (pkm pasir angin)</t>
  </si>
  <si>
    <t>MPG-051225005 - AC (PKM PASIR ANGIN).pdf</t>
  </si>
  <si>
    <t>5 des 25</t>
  </si>
  <si>
    <t>PROFORMA PORTAL - PT. MATA PENSIL GLOBALINDO - 4 DEC 2025.pdf</t>
  </si>
  <si>
    <t>Pembelian lampu LED 20 watt (PKM Gandoang)</t>
  </si>
  <si>
    <t>surat-pesanan-EP-01KB451TGNYBXVPGQ9BA9QG80F PKM Gandoang lampu dan baterei.pdf</t>
  </si>
  <si>
    <t>Lampu LED 20 Watt.pdf</t>
  </si>
  <si>
    <t>Pembelian baterai a3 a2 (pkm gandoang)</t>
  </si>
  <si>
    <t>Baterai A3 dan A2.pdf</t>
  </si>
  <si>
    <t>Pembelian Steker 6 Lubang (pkm gandoang)</t>
  </si>
  <si>
    <t>Steker 6 Lubang .pdf</t>
  </si>
  <si>
    <t>Pembelian Senter led (pkm gandoang)</t>
  </si>
  <si>
    <t>Lampu Senter LED.pdf</t>
  </si>
  <si>
    <t>Pembelian lampu 22 watt (pkm gandoang)</t>
  </si>
  <si>
    <t>Lampu 22 WATT.pdf</t>
  </si>
  <si>
    <t>Tonner Printer november</t>
  </si>
  <si>
    <t>Toner Printer November.pdf</t>
  </si>
  <si>
    <t>Biznet Desember</t>
  </si>
  <si>
    <t>Biznet (Desember).pdf</t>
  </si>
  <si>
    <t>Galon November</t>
  </si>
  <si>
    <t>Galon (November).pdf</t>
  </si>
  <si>
    <t>Pengajuan uang muka kibo pasang ac pkm pasir angin</t>
  </si>
  <si>
    <t>Pengajuan Uang Muka Kibo (Pemasanga Ac P.pdf</t>
  </si>
  <si>
    <t>DP BNPB</t>
  </si>
  <si>
    <t>3 des 25</t>
  </si>
  <si>
    <t>DP BNPB.pdf</t>
  </si>
  <si>
    <t>Pelunasan BNPB</t>
  </si>
  <si>
    <t>8 des 25</t>
  </si>
  <si>
    <t>Pelunasan BNPB.pdf</t>
  </si>
  <si>
    <t>Pembelian gc fuji (pkm cileungsi)</t>
  </si>
  <si>
    <t>surat-pesanan-EP-01KASH4E65FVXXS4GCAAFRY44R Cileungsi Glass Ionomer.pdf</t>
  </si>
  <si>
    <t>GC FUJI (PKM CILEUNGSI).pdf</t>
  </si>
  <si>
    <t>Pemvelian infusion set (rspp)</t>
  </si>
  <si>
    <t>SP - RSPP (4100047459).pdf</t>
  </si>
  <si>
    <t>MPG-211025022 - TP.pdf</t>
  </si>
  <si>
    <t>inv - tp (4100047459).pdf</t>
  </si>
  <si>
    <t>FP - TP (4100047459).pdf</t>
  </si>
  <si>
    <t>SP - RSPP (4100051547).pdf</t>
  </si>
  <si>
    <t>MPG-231025029 - PT. TOP POINT MEDICAL (Stock RSPP PO 11).pdf</t>
  </si>
  <si>
    <t>invoice - top point (4100051547).pdf</t>
  </si>
  <si>
    <t>FP - TP (4100051547).pdf</t>
  </si>
  <si>
    <t>Pembelian easy touch cholestrol (pkm ciangsana)</t>
  </si>
  <si>
    <t>MPG-081225007 - PT.BSM (Easy Touch Cholestrol).pdf</t>
  </si>
  <si>
    <t>Inv Bsm (easy touch cholestrol).jpg</t>
  </si>
  <si>
    <t xml:space="preserve">harga jual 10.5 </t>
  </si>
  <si>
    <t>Reimburse ops yoga 5 des 25</t>
  </si>
  <si>
    <t>Reimburse Ops Yoga 5 Des 25.pdf</t>
  </si>
  <si>
    <t>Reimburse ops ali 5 des 25</t>
  </si>
  <si>
    <t>Reimburse Ops Ali 5 des 25.pdf</t>
  </si>
  <si>
    <t>Cashback pkm ali</t>
  </si>
  <si>
    <t>cashback pkm ali.pdf</t>
  </si>
  <si>
    <t>Pembelian Tensimeter (PKM Balekambang)</t>
  </si>
  <si>
    <t>surat-pesanan-EP-01KBMKZS847AXG1Y5WJ24AX1GB PKM Balekambang Tensi dan thermometer.pdf</t>
  </si>
  <si>
    <t>PO - menyusul?</t>
  </si>
  <si>
    <t>Tensimeter (PKM Balekambang).pdf</t>
  </si>
  <si>
    <t>harga jual 2.145</t>
  </si>
  <si>
    <t>Pembelian Nebulizer Omron (PKM Balekambanb)</t>
  </si>
  <si>
    <t>Nebulizer Omron (PKM Balekambang).pdf</t>
  </si>
  <si>
    <t>harga jual 2.6</t>
  </si>
  <si>
    <t>Pembelian Headlamps (Pkm balekambang)</t>
  </si>
  <si>
    <t>Headlamp Medis.pdf</t>
  </si>
  <si>
    <t>harga jual 198</t>
  </si>
  <si>
    <t xml:space="preserve">sisa 2 brg yg blm </t>
  </si>
  <si>
    <t>Reimburse ops client pa romi</t>
  </si>
  <si>
    <t>Pembelian tabung edta 3ml dan merah (pkm karya mekar)</t>
  </si>
  <si>
    <t>SP - PKM KARYAMEKAR DES25.pdf</t>
  </si>
  <si>
    <t>MPG-091225008 - PT.BSM (PKM KARYAMEKAR).pdf</t>
  </si>
  <si>
    <t>9 des 25</t>
  </si>
  <si>
    <t>INV BSM (PKM KARYAMEKAR).jpeg</t>
  </si>
  <si>
    <t>Pembelian codfree (pkm karya mekar)</t>
  </si>
  <si>
    <t>MPG-091225009 - PT.Biosensor (PKM KARYAMEKAR DES25).pdf</t>
  </si>
  <si>
    <t>5580 - INV PT. MATA PENSIL.pdf</t>
  </si>
  <si>
    <t>Pembelian Yellow Tip (pkm karyamekar)</t>
  </si>
  <si>
    <t>Yellow Tip PKM Karyamekar.jpeg</t>
  </si>
  <si>
    <t>Pembelian Plastik Putih (pkm karyamekar)</t>
  </si>
  <si>
    <t>Plastik Putih 1 kg (pkm karyamekar).pdf</t>
  </si>
  <si>
    <t>Pembelian plastik kuning 60x100 (pkm karyamekar)</t>
  </si>
  <si>
    <t>Plastik Sampah Kuning 60x100 (PKM Karyamekar).pdf</t>
  </si>
  <si>
    <t>Pembelian plastik kuning 100x120 (pkm karyamekar)</t>
  </si>
  <si>
    <t>Plastik Sampah Kuning 100x120 (pkm karyamekar).pdf</t>
  </si>
  <si>
    <t>Pembelian tissue (pkm karyamekar)</t>
  </si>
  <si>
    <t>Tissue 250 sheet (Pkm Karyamekar).pdf</t>
  </si>
  <si>
    <t>Pembelian fr 10 dan fr 8 (rs suyoto)</t>
  </si>
  <si>
    <t>cetak_pesanan_FKS-P2509-12128475 RS Suyoto (1).pdf</t>
  </si>
  <si>
    <t>MPG-091225010 - RS.SUYOTO.pdf</t>
  </si>
  <si>
    <t>Invoice TP - 113.pdf</t>
  </si>
  <si>
    <t>FP - TP 113.pdf</t>
  </si>
  <si>
    <t>Cashback Cibungbulang</t>
  </si>
  <si>
    <t>10 des 25</t>
  </si>
  <si>
    <t>Cashback PKM Cibungbulang.pdf</t>
  </si>
  <si>
    <t>Cashback PKM Pasir Angin</t>
  </si>
  <si>
    <t>Cashback pkm pasir angin.pdf</t>
  </si>
  <si>
    <t>Cashback CV Meyda</t>
  </si>
  <si>
    <t>Cashback CV.Meyda.pdf</t>
  </si>
  <si>
    <t>Pembelian easy touch cholestrol asam urat (pkm situ udik)</t>
  </si>
  <si>
    <t>surat-pesanan-EP-01KBKCD5VWVSRVG1S747C0BSYG SITU UDIK.pdf</t>
  </si>
  <si>
    <t>MPG-101225011 - BSM (PKM SITU UDIK).pdf</t>
  </si>
  <si>
    <t>BSM - PKM SITU UDIK.jpg</t>
  </si>
  <si>
    <t>Pembelian widal (pkm situ udik)</t>
  </si>
  <si>
    <t>MPG-101225012 - PT.SGM (pkm situ udik).pdf</t>
  </si>
  <si>
    <t>SGM - WIDAL PKM SITU UDIK.jpg</t>
  </si>
  <si>
    <t>Pembelian hb mission (pkm situ udik)</t>
  </si>
  <si>
    <t>MPG-101225013 - PT.MBC (PKM SITU UDIK).pdf</t>
  </si>
  <si>
    <t>Mision HB - MBC (PKM Situ Udik).pdf</t>
  </si>
  <si>
    <t>Pembelian alcohol dan plester (situ udik)</t>
  </si>
  <si>
    <t>surat-pesanan-EP-01KBQBV11XD1FFRNEK9M0Y07FE SITU UDIK 1.pdf</t>
  </si>
  <si>
    <t>MPG-101225014 - PT.DHYAS (PKM SITU UDIK).pdf</t>
  </si>
  <si>
    <t>039_ INV PT MATA PENSIL GLOBALINDO.pdf</t>
  </si>
  <si>
    <t>Pembelian masker (pkm situ udik)</t>
  </si>
  <si>
    <t>Masker PKM Situ Udik .pdf</t>
  </si>
  <si>
    <t>Pembelian widal set (pkm ciangsana)</t>
  </si>
  <si>
    <t>MPG-101225016 - PT.SGM (PKM CIANGSANA).pdf</t>
  </si>
  <si>
    <t>SGM - WIDAL PKM CIANGSANA.jpg</t>
  </si>
  <si>
    <t>Tanda jadi sewa kantor sentul</t>
  </si>
  <si>
    <t xml:space="preserve">tolong dilengkapi buktinya ya </t>
  </si>
  <si>
    <t>Pengajuan rizky antar barang</t>
  </si>
  <si>
    <t>Form Pengajuan Uang Muka kirim barang - Rizky Maulana (10-12-25).pdf</t>
  </si>
  <si>
    <t>Perubahan Akta PT Tridia</t>
  </si>
  <si>
    <t>CamScanner 11-12-2025 12.05.pdf</t>
  </si>
  <si>
    <t xml:space="preserve">Pesanan rspp </t>
  </si>
  <si>
    <t>SP RSPP (PO 15).jpg</t>
  </si>
  <si>
    <t>MPG-121225017 - TOP POINT (RSPP 15).pdf</t>
  </si>
  <si>
    <t>Invoice TP (112).pdf</t>
  </si>
  <si>
    <t>FP - TP (112-tpm).pdf</t>
  </si>
  <si>
    <t>Pembelian lampu sorot (pkm balekambang)</t>
  </si>
  <si>
    <t>Lampu sorot pkm balekambang.pdf</t>
  </si>
  <si>
    <t>harga jual 810</t>
  </si>
  <si>
    <t>Pembelian thermometer (pkm balekambang)</t>
  </si>
  <si>
    <t>Thermometer PKM Balekambang .pdf</t>
  </si>
  <si>
    <t>harga jual 1.734</t>
  </si>
  <si>
    <t>Transport antar bast ke asabri</t>
  </si>
  <si>
    <t>Transport BAST Asabri.pdf</t>
  </si>
  <si>
    <t>Padi Event</t>
  </si>
  <si>
    <t>Event Padi Business Forum.pdf</t>
  </si>
  <si>
    <t>Badminton Kantor</t>
  </si>
  <si>
    <t>Badminton Kantor.pdf</t>
  </si>
  <si>
    <t>Bensin dan tol mobil city (ke bogor)</t>
  </si>
  <si>
    <t>Bensin Tol (Mobil Kantor).pdf</t>
  </si>
  <si>
    <t>Brosur DIVA event Padi</t>
  </si>
  <si>
    <t>WPE 1225-202472_193059_251209_202445.pdf</t>
  </si>
  <si>
    <t>Hosting MP</t>
  </si>
  <si>
    <t>hosting MP Des.jpeg</t>
  </si>
  <si>
    <t>Pembelian syringe (pkm cileungsi)</t>
  </si>
  <si>
    <t>surat-pesanan-EP-01KC5X7FP9A2P29T626CKCFXX3.pdf</t>
  </si>
  <si>
    <t>MPG-161225021 - PT. BSM (SYRINGE PKM CILUENGSI).pdf</t>
  </si>
  <si>
    <t>INV BSM (ONEMED PKM CILUENGSI).jpeg</t>
  </si>
  <si>
    <t>Pembelian Sarung tangan dan Alcohol swab (pkm cileungsi)</t>
  </si>
  <si>
    <t>MPG-151225019 - PT.DHYAS (PKM CILEUNGSI).pdf</t>
  </si>
  <si>
    <t>040_ INV PT MATA PENSIL GLOBALINDO.pdf</t>
  </si>
  <si>
    <t>Harga jual alchol 2.460 sarung tangan 6.2</t>
  </si>
  <si>
    <t>Pembelian tabung plain merah (pkm ciangsana)</t>
  </si>
  <si>
    <t>Tabung Plain merah (pkm ciangsana).pdf</t>
  </si>
  <si>
    <t>harga jual 1.3</t>
  </si>
  <si>
    <t>Pembelian strip hb (pkm ciangsana)</t>
  </si>
  <si>
    <t>Strip HB (PKM ciangsana).pdf</t>
  </si>
  <si>
    <t>harga jual 760</t>
  </si>
  <si>
    <t>Pembelian pesanan dinkes tasik</t>
  </si>
  <si>
    <t>SP LABKESDA 9 DES 25.pdf</t>
  </si>
  <si>
    <t>MPG-161225020 - PT. WHIRA PITHOE (DINKES TASIK 9 DES).pdf</t>
  </si>
  <si>
    <t>WPUB4531 PT MATA PENSIL GLOBALINDO.pdf</t>
  </si>
  <si>
    <t>sudah invocing</t>
  </si>
  <si>
    <t>Penbelian pesanan cv.meyda (sudah bayar)</t>
  </si>
  <si>
    <t>PO PT.MATA PENSIL GLOBALINDO (MPG) 021225.pdf</t>
  </si>
  <si>
    <t>MPG-031225004 - PT. NBD.pdf</t>
  </si>
  <si>
    <t>INV NBD (CV.MEYDA).pdf</t>
  </si>
  <si>
    <t>Bukti TF payment Mata Pensil (1).pdf</t>
  </si>
  <si>
    <t>sudah bayar</t>
  </si>
  <si>
    <t>Reimburse ops rizky</t>
  </si>
  <si>
    <t>reimburse rizky (12 des 25).pdf</t>
  </si>
  <si>
    <t>Pembayaran eranya mp (periode nov)</t>
  </si>
  <si>
    <t>eranya Mp (periode nov 25).pdf</t>
  </si>
  <si>
    <t>FP - Eranya (periode nov 25).pdf</t>
  </si>
  <si>
    <t>Pembayaran listrik dan parkir gedung (pemakain nov 25)</t>
  </si>
  <si>
    <t>listrik &amp; parkir gedung (pemakaian nov 25) pdf</t>
  </si>
  <si>
    <t>Ops pa agus ke subang</t>
  </si>
  <si>
    <t>ops pa agus - subang.pdf</t>
  </si>
  <si>
    <t>Pembelian infus set (po 16 rspp)</t>
  </si>
  <si>
    <t>PO RSPP 16.jpeg</t>
  </si>
  <si>
    <t>MPG-181225022 - TP (RSPP PO 16).pdf</t>
  </si>
  <si>
    <t>invoice TP (150 tpm).pdf</t>
  </si>
  <si>
    <t xml:space="preserve">Approved </t>
  </si>
  <si>
    <t>FP TP (150 tpm).pdf</t>
  </si>
  <si>
    <t>ditunggu lampiran inv nyaa</t>
  </si>
  <si>
    <t>Pembelian plastik klip (pkm cimandala)</t>
  </si>
  <si>
    <t>surat-pesanan-EP-01KC61RS4S0B5WDKMR339CW18A PKM CIMANDALA PLASTIK.pdf</t>
  </si>
  <si>
    <t>Plastik Klip 7x10 (PKM CIMANDALA).pdf</t>
  </si>
  <si>
    <t xml:space="preserve">Pembelian Pesanan (dinkes tasikmalaya) </t>
  </si>
  <si>
    <t>SP DINKES TASIKMALAYA.pdf</t>
  </si>
  <si>
    <t>MPG-191225023 - PT. WHIRA PITHOE (DINKES TASIK).pdf</t>
  </si>
  <si>
    <t>WPUB4615 PT MATA PENSIL GLOBALINDO.pdf</t>
  </si>
  <si>
    <t xml:space="preserve">Pelunasan Motor </t>
  </si>
  <si>
    <t>Pelunasan Motor.pdf</t>
  </si>
  <si>
    <t>Toner Printer</t>
  </si>
  <si>
    <t>Toner Printer.pdf</t>
  </si>
  <si>
    <t>Galon Kantor</t>
  </si>
  <si>
    <t>Galon Kantor.pdf</t>
  </si>
  <si>
    <t>Reimburse bang okto</t>
  </si>
  <si>
    <t>Tiket pesawat pa nasir</t>
  </si>
  <si>
    <t>tiket cgk-upg (pak nasir).pdf</t>
  </si>
  <si>
    <t>sudah dipayment via Mandiri SAA</t>
  </si>
  <si>
    <t>Reimburse bdg bang okto</t>
  </si>
  <si>
    <t>Polres Bandung .pdf</t>
  </si>
  <si>
    <t>Pembelian Biocal (pesanan dinkes tasik)</t>
  </si>
  <si>
    <t>SP - Dinkes Tasik (22 Des 25).pdf</t>
  </si>
  <si>
    <t>MPG-241225024 - PT. WHIRA PITOE.pdf</t>
  </si>
  <si>
    <t>WPUB4667 PT MATA PENSIL GLOBALINDO.pdf</t>
  </si>
  <si>
    <t>Pembelian handscoon dan alcohol (pesanan dinkes tasik)</t>
  </si>
  <si>
    <t>MPG-241225025 - PT. DHYAS.pdf</t>
  </si>
  <si>
    <t>043_ INV PT MATA PENSIL GLOBALINDO.pdf</t>
  </si>
  <si>
    <t>Reimburse ali</t>
  </si>
  <si>
    <t>Reimburse Ops Ali (17 des 25).pdf</t>
  </si>
  <si>
    <t>Stock Icepack Pengiriman Reagen Luar Kota</t>
  </si>
  <si>
    <t>Stock Icepack.pdf</t>
  </si>
  <si>
    <t>Pembelian pesanan rs banten</t>
  </si>
  <si>
    <t>surat-pesanan-EP-01KD4XBP2VPRVFJAK4EKRPPR6F RSUD Malingping Banten.pdf</t>
  </si>
  <si>
    <t>MPG-291225027 - TP (RSUD MALIMPING BANTEN).pdf</t>
  </si>
  <si>
    <t>inv tp 218.pdf</t>
  </si>
  <si>
    <t>FP - TP 218.pdf</t>
  </si>
  <si>
    <t>Pembayaran sms (pesanan rsud cibinong)</t>
  </si>
  <si>
    <t>SPH RSUD CIBINONG NODIN 19 1 DESEMBER.pdf</t>
  </si>
  <si>
    <t>INV SMS 6.7.jpeg</t>
  </si>
  <si>
    <t>Stock infusion set rspp</t>
  </si>
  <si>
    <t>MPG-291225028 - TP (RSPP STOCK).pdf</t>
  </si>
  <si>
    <t>Invoice tp 223.pdf</t>
  </si>
  <si>
    <t>Fp tp 223.pdf</t>
  </si>
  <si>
    <t>Reimburse Pengiriman barang - Kibo</t>
  </si>
  <si>
    <t>Reimurse Sales - Kibo</t>
  </si>
  <si>
    <t>Pengajuan advance kirim barang rsud maliping</t>
  </si>
  <si>
    <t>kirim barang rsud malingping.pdf</t>
  </si>
  <si>
    <t>Pengajuan advance pindahan kantor bgr</t>
  </si>
  <si>
    <t>Form Pengajuan Uang Muka pindahan.pdf</t>
  </si>
  <si>
    <t>Pembelian lampu pesanan rsud cibinong</t>
  </si>
  <si>
    <t>SPH RSUD CIBINONG NODIN 14.pdf</t>
  </si>
  <si>
    <t>MPG-291225029 - PT.SMS.pdf</t>
  </si>
  <si>
    <t>INV SMS LAMPU RSUD CIBINONG .jpeg</t>
  </si>
  <si>
    <t>Pesanan Kekurangan dinkes bogor</t>
  </si>
  <si>
    <t>MPG-020126001 - Tripatria.pdf</t>
  </si>
  <si>
    <t>inv tripatria 26010030.pdf</t>
  </si>
  <si>
    <t>fp tripatria 26010030.pdf</t>
  </si>
  <si>
    <t>Pembelian lampu photometer dinkes tasik</t>
  </si>
  <si>
    <t>Pembelian lampu photometer dinkes tasik.pdf</t>
  </si>
  <si>
    <t>Pembelian lampu kantor bogor</t>
  </si>
  <si>
    <t>Lampu Kantor Bogor.pdf</t>
  </si>
  <si>
    <t>Reimburse ops yoga</t>
  </si>
  <si>
    <t>Reimburse ops yoga.pdf</t>
  </si>
  <si>
    <t>Reimburse kibo</t>
  </si>
  <si>
    <t>reimburse pengiriman barang kibo.pdf</t>
  </si>
  <si>
    <t>Pengiriman barang rs malinping</t>
  </si>
  <si>
    <t>Pengiriman barang rs malinping.pdf</t>
  </si>
  <si>
    <t>Uang Muka penagihan rs adjidarmo</t>
  </si>
  <si>
    <t>uang muka penagihan rs adjidarmo.pdf</t>
  </si>
  <si>
    <t>Makan benerin alat kopi pa gentha dan printer</t>
  </si>
  <si>
    <t>konsumsi.pdf</t>
  </si>
  <si>
    <t>Tiket pesawat pa nasir upg - cgk</t>
  </si>
  <si>
    <t>receipt (1) .pdf</t>
  </si>
  <si>
    <t>Entertain pkm kibo</t>
  </si>
  <si>
    <t>Reimburse entertain pkm kibo.pdf</t>
  </si>
  <si>
    <t>Pembelian et choles dan asam urat (pkm ciasmara jan 26)</t>
  </si>
  <si>
    <t>Surat Pesanan PKM Ciasmara (Januari 2026.pdf</t>
  </si>
  <si>
    <t>MPG-080126002 - BSM.pdf</t>
  </si>
  <si>
    <t>Invoice SO.2026.01.01007 - BSM.jpeg</t>
  </si>
  <si>
    <t>Kurang ET Cholestrol 1 box</t>
  </si>
  <si>
    <t>Pembelian Tabung Kuning Gel dan Tip Kuning (Pesanan Dinkes Tasik)</t>
  </si>
  <si>
    <t>Surat Pesanan Dinkes Tasik (Januari 2026.pdf</t>
  </si>
  <si>
    <t>MPG-080126003 - BSM.pdf</t>
  </si>
  <si>
    <t>Invoice SO.2026.01.01023 - BSM.jpeg</t>
  </si>
  <si>
    <t>Pembelian stik guldar fora (Pesanan dinkes tasik)</t>
  </si>
  <si>
    <t>FORA 6 (dinkes tasik).pdf</t>
  </si>
  <si>
    <t>Pembelian reagen napza (dinkes tasik)</t>
  </si>
  <si>
    <t>MPG-080126004 - PT. SANGIANG KARYA MANDIRI.pdf</t>
  </si>
  <si>
    <t>Inv (021-SKM-001-2026) - Sangiang.jpeg</t>
  </si>
  <si>
    <t>Entertain Pak Romi dengan Client</t>
  </si>
  <si>
    <t>Entertain Pak Romi dengan Client.pdf</t>
  </si>
  <si>
    <t>BNPB Om Edo</t>
  </si>
  <si>
    <t>Pengajuan Uang Muka (bnpb).pdf</t>
  </si>
  <si>
    <t>Performance Insentif Rizky</t>
  </si>
  <si>
    <t>Insentif Rizky Maulana.pdf</t>
  </si>
  <si>
    <t>Reimburse ops ali</t>
  </si>
  <si>
    <t>Reimburse ops ali (1).pdf</t>
  </si>
  <si>
    <t>Reimburse ops yoga (1).pdf</t>
  </si>
  <si>
    <t>Kipas Angin kantor bogor</t>
  </si>
  <si>
    <t>Kipas Angin Kantor Bogor.pdf</t>
  </si>
  <si>
    <t>Cashback Pkm Situ udik, Ciasmara</t>
  </si>
  <si>
    <t>Cashback Pkm situ udik, ciasmara.pdf</t>
  </si>
  <si>
    <t>Cashback PKM Rizky</t>
  </si>
  <si>
    <t>Cashback PKM Rizky Maulana.pdf</t>
  </si>
  <si>
    <t>Pembelian Pesanan (RSUD Pasar Minggu)</t>
  </si>
  <si>
    <t>Surat Pesanan RSUD Pasar Minggu (Januari).pdf</t>
  </si>
  <si>
    <t>MPG-140126005 - PT. KLIPINDO PLASTIK PRATAMA.pdf</t>
  </si>
  <si>
    <t>14-1-26</t>
  </si>
  <si>
    <t>cashback pkm ciangsana,gandoang,malingping,labkesda</t>
  </si>
  <si>
    <t>Cashback pkm ciangsana, labksda bogor, r.pdf</t>
  </si>
  <si>
    <t>OTOMATIS DARI SHEET PURCHASE</t>
  </si>
  <si>
    <t xml:space="preserve">Lampirkan BUKTI BAYAR </t>
  </si>
  <si>
    <t>Link</t>
  </si>
  <si>
    <t>Date PO</t>
  </si>
  <si>
    <t>Rp</t>
  </si>
  <si>
    <t>By</t>
  </si>
  <si>
    <t>Other</t>
  </si>
  <si>
    <t>Outstanding</t>
  </si>
  <si>
    <t>Document</t>
  </si>
  <si>
    <t>11-agustus-25</t>
  </si>
  <si>
    <t>BCA MPG</t>
  </si>
  <si>
    <t>11-agus-25</t>
  </si>
  <si>
    <t>Bukti TF Pesanan PKM DPT Saketi.pdf</t>
  </si>
  <si>
    <t>Pembayaran ke Top Point</t>
  </si>
  <si>
    <t>Bukti Bayar Gludenta</t>
  </si>
  <si>
    <t>Bukti Bayar Top Point</t>
  </si>
  <si>
    <t>WhatsApp Image 2025-09-03 at 17.05.49.jpeg</t>
  </si>
  <si>
    <t>WhatsApp Image 2025-09-03 at 17.04.58.jpeg</t>
  </si>
  <si>
    <t>batal</t>
  </si>
  <si>
    <t xml:space="preserve">batal </t>
  </si>
  <si>
    <t>gajadi pesan</t>
  </si>
  <si>
    <t>WhatsApp Image 2025-09-03 at 17.04.35.jpeg</t>
  </si>
  <si>
    <t>WhatsApp Image 2025-09-03 at 17.04.23.jpeg</t>
  </si>
  <si>
    <t>blm dibyr\</t>
  </si>
  <si>
    <t>?</t>
  </si>
  <si>
    <t>17-Des-25</t>
  </si>
  <si>
    <t>blm dibyr</t>
  </si>
  <si>
    <t>harusnya udh</t>
  </si>
  <si>
    <t>blm jatuh tempo</t>
  </si>
  <si>
    <t>blm tempo</t>
  </si>
  <si>
    <t>05-Des-25</t>
  </si>
  <si>
    <t>akan update baru</t>
  </si>
  <si>
    <t>09-Des-25</t>
  </si>
  <si>
    <t>26-N0V-25</t>
  </si>
  <si>
    <t>03-Des-25</t>
  </si>
  <si>
    <t>12-Des-25</t>
  </si>
  <si>
    <t>08-Des-25</t>
  </si>
  <si>
    <t>24-Des-25</t>
  </si>
  <si>
    <t>04-Des-25</t>
  </si>
  <si>
    <t>po?</t>
  </si>
  <si>
    <t>16-Des-25</t>
  </si>
  <si>
    <t>blm dibyr, tunggu jatuh tempo</t>
  </si>
  <si>
    <t>15-Des-25</t>
  </si>
  <si>
    <t xml:space="preserve">12-Des-25 </t>
  </si>
  <si>
    <t>10-Des-25</t>
  </si>
  <si>
    <t>19-Des-25</t>
  </si>
  <si>
    <t>MPG-181225023 - PT. KLIPINDO (PKM CIMANDALA).pdf</t>
  </si>
  <si>
    <t>22-Des-25</t>
  </si>
  <si>
    <t>29-Des-25</t>
  </si>
  <si>
    <t>Total</t>
  </si>
  <si>
    <t>control</t>
  </si>
  <si>
    <t>AR</t>
  </si>
  <si>
    <t>CB</t>
  </si>
  <si>
    <t>TB</t>
  </si>
  <si>
    <t>A/P 2024</t>
  </si>
  <si>
    <t>Cash Rp</t>
  </si>
  <si>
    <t>A/P 2025</t>
  </si>
  <si>
    <t>BII</t>
  </si>
  <si>
    <t>BCA</t>
  </si>
  <si>
    <t>total</t>
  </si>
  <si>
    <t>List</t>
  </si>
  <si>
    <t>Adj</t>
  </si>
  <si>
    <t>Client</t>
  </si>
  <si>
    <t>Diff.</t>
  </si>
  <si>
    <t>Pemerintah</t>
  </si>
  <si>
    <t>Pemungut</t>
  </si>
  <si>
    <t>laptop</t>
  </si>
  <si>
    <t>mouse</t>
  </si>
  <si>
    <t>DPP</t>
  </si>
  <si>
    <t>ini setara nilai invoice</t>
  </si>
  <si>
    <t>PPH</t>
  </si>
  <si>
    <t>NET RECEIPT</t>
  </si>
  <si>
    <t>DPP LAIINYA</t>
  </si>
  <si>
    <t>AC No.</t>
  </si>
  <si>
    <t>Account Name</t>
  </si>
  <si>
    <t>Dr.</t>
  </si>
  <si>
    <t>Cr.</t>
  </si>
  <si>
    <t>Purchases Journal</t>
  </si>
  <si>
    <t>50100-00</t>
  </si>
  <si>
    <t>Pembelian</t>
  </si>
  <si>
    <t>22104-00</t>
  </si>
  <si>
    <t>Hutang PPh 23</t>
  </si>
  <si>
    <t>Value added tax-input</t>
  </si>
  <si>
    <t>Trade payables-Rp</t>
  </si>
  <si>
    <t>Pada saat beli</t>
  </si>
  <si>
    <t>hutang</t>
  </si>
  <si>
    <t xml:space="preserve">Hutang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</si>
</sst>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[$-409]d\-mmm\-yy"/>
    <numFmt numFmtId="165" formatCode="_(* #,##0.00_);_(* \(#,##0.00\);_(* &quot;-&quot;??_);_(@_)"/>
    <numFmt numFmtId="166" formatCode="_(* #,##0_);_(* \(#,##0\);_(* &quot;-&quot;_);_(@_)"/>
    <numFmt numFmtId="167" formatCode="dd/MM/yyyy"/>
    <numFmt numFmtId="168" formatCode="mm/dd/yyyy"/>
    <numFmt numFmtId="169" formatCode="m/d/yyyy"/>
    <numFmt numFmtId="170" formatCode="[$-409]mmm\-yy"/>
    <numFmt numFmtId="171" formatCode="m/d/yy"/>
    <numFmt numFmtId="172" formatCode="d-mmm-yy"/>
    <numFmt numFmtId="173" formatCode="m-d-yy"/>
    <numFmt numFmtId="174" formatCode="d-mmm-yyyy"/>
    <numFmt numFmtId="175" formatCode="d mmm yy"/>
    <numFmt numFmtId="176" formatCode="_(* #,##0_);_(* \(#,##0\);_(* &quot;-&quot;??_);_(@_)"/>
    <numFmt numFmtId="177" formatCode="M/d/yyyy"/>
    <numFmt numFmtId="178" formatCode="[$-409]dd\-mmm\-yy"/>
    <numFmt numFmtId="179" formatCode="dd-mmm-yy"/>
    <numFmt numFmtId="180" formatCode="d&quot;-&quot;mmm&quot;-&quot;yyyy"/>
    <numFmt numFmtId="181" formatCode="mm/dd/yy"/>
  </numFmts>
  <fonts count="45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rgb="FFFF0000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FF0000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i/>
      <sz val="11.0"/>
      <color theme="1"/>
      <name val="Calibri"/>
    </font>
    <font>
      <sz val="11.0"/>
      <color theme="4"/>
      <name val="Calibri"/>
    </font>
    <font>
      <b/>
      <sz val="11.0"/>
      <color rgb="FFFF0000"/>
      <name val="Calibri"/>
    </font>
    <font>
      <sz val="11.0"/>
      <color rgb="FF0000FF"/>
      <name val="Calibri"/>
    </font>
    <font/>
    <font>
      <b/>
      <sz val="11.0"/>
      <color rgb="FF0000FF"/>
      <name val="Calibri"/>
    </font>
    <font>
      <b/>
      <sz val="11.0"/>
      <color theme="4"/>
      <name val="Calibri"/>
    </font>
    <font>
      <sz val="11.0"/>
      <color rgb="FF6D9EEB"/>
      <name val="Calibri"/>
    </font>
    <font>
      <sz val="11.0"/>
      <color rgb="FF4285F4"/>
      <name val="Calibri"/>
    </font>
    <font>
      <sz val="11.0"/>
      <color rgb="FF3C78D8"/>
      <name val="Calibri"/>
    </font>
    <font>
      <u/>
      <color theme="1"/>
      <name val="Arial"/>
      <scheme val="minor"/>
    </font>
    <font>
      <sz val="11.0"/>
      <color rgb="FF000000"/>
      <name val="Calibri"/>
    </font>
    <font>
      <sz val="11.0"/>
      <color rgb="FF1155CC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color theme="4"/>
      <name val="Arial"/>
      <scheme val="minor"/>
    </font>
    <font>
      <sz val="8.0"/>
      <color theme="1"/>
      <name val="Arial"/>
    </font>
    <font>
      <sz val="8.0"/>
      <color theme="1"/>
      <name val="Century Gothic"/>
    </font>
    <font>
      <i/>
      <u/>
      <sz val="8.0"/>
      <color theme="1"/>
      <name val="Arial"/>
    </font>
    <font>
      <sz val="8.0"/>
      <color rgb="FF0000FF"/>
      <name val="Arial"/>
    </font>
    <font>
      <sz val="8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FFCC99"/>
        <bgColor rgb="FFFFCC99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1" fillId="2" fontId="2" numFmtId="49" xfId="0" applyAlignment="1" applyBorder="1" applyFont="1" applyNumberFormat="1">
      <alignment horizontal="center"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164" xfId="0" applyAlignment="1" applyBorder="1" applyFont="1" applyNumberFormat="1">
      <alignment horizontal="center" vertical="bottom"/>
    </xf>
    <xf borderId="1" fillId="2" fontId="2" numFmtId="165" xfId="0" applyAlignment="1" applyBorder="1" applyFont="1" applyNumberFormat="1">
      <alignment horizontal="center" shrinkToFit="0" vertical="bottom" wrapText="1"/>
    </xf>
    <xf borderId="1" fillId="2" fontId="2" numFmtId="165" xfId="0" applyAlignment="1" applyBorder="1" applyFont="1" applyNumberFormat="1">
      <alignment horizontal="center" vertical="bottom"/>
    </xf>
    <xf borderId="2" fillId="2" fontId="2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1" fillId="2" fontId="4" numFmtId="0" xfId="0" applyAlignment="1" applyBorder="1" applyFont="1">
      <alignment horizontal="center" vertical="bottom"/>
    </xf>
    <xf borderId="1" fillId="2" fontId="5" numFmtId="49" xfId="0" applyAlignment="1" applyBorder="1" applyFont="1" applyNumberFormat="1">
      <alignment vertical="bottom"/>
    </xf>
    <xf borderId="1" fillId="2" fontId="5" numFmtId="0" xfId="0" applyAlignment="1" applyBorder="1" applyFont="1">
      <alignment vertical="bottom"/>
    </xf>
    <xf borderId="1" fillId="2" fontId="5" numFmtId="164" xfId="0" applyAlignment="1" applyBorder="1" applyFont="1" applyNumberFormat="1">
      <alignment vertical="bottom"/>
    </xf>
    <xf borderId="1" fillId="2" fontId="5" numFmtId="165" xfId="0" applyAlignment="1" applyBorder="1" applyFont="1" applyNumberFormat="1">
      <alignment vertical="bottom"/>
    </xf>
    <xf borderId="2" fillId="2" fontId="5" numFmtId="0" xfId="0" applyAlignment="1" applyBorder="1" applyFont="1">
      <alignment vertical="bottom"/>
    </xf>
    <xf borderId="3" fillId="2" fontId="5" numFmtId="0" xfId="0" applyAlignment="1" applyBorder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4" fillId="0" fontId="5" numFmtId="166" xfId="0" applyAlignment="1" applyBorder="1" applyFont="1" applyNumberFormat="1">
      <alignment vertical="bottom"/>
    </xf>
    <xf borderId="4" fillId="0" fontId="2" numFmtId="0" xfId="0" applyAlignment="1" applyBorder="1" applyFont="1">
      <alignment horizontal="center" vertical="bottom"/>
    </xf>
    <xf borderId="0" fillId="0" fontId="5" numFmtId="166" xfId="0" applyAlignment="1" applyFont="1" applyNumberFormat="1">
      <alignment vertical="bottom"/>
    </xf>
    <xf borderId="0" fillId="0" fontId="2" numFmtId="166" xfId="0" applyAlignment="1" applyFont="1" applyNumberFormat="1">
      <alignment horizontal="right" vertical="bottom"/>
    </xf>
    <xf borderId="5" fillId="0" fontId="2" numFmtId="166" xfId="0" applyAlignment="1" applyBorder="1" applyFont="1" applyNumberFormat="1">
      <alignment horizontal="right" vertical="bottom"/>
    </xf>
    <xf borderId="5" fillId="0" fontId="5" numFmtId="166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2" numFmtId="4" xfId="0" applyAlignment="1" applyFont="1" applyNumberFormat="1">
      <alignment horizontal="right" vertical="bottom"/>
    </xf>
    <xf borderId="4" fillId="0" fontId="2" numFmtId="166" xfId="0" applyAlignment="1" applyBorder="1" applyFont="1" applyNumberFormat="1">
      <alignment vertical="bottom"/>
    </xf>
    <xf borderId="4" fillId="0" fontId="2" numFmtId="49" xfId="0" applyAlignment="1" applyBorder="1" applyFont="1" applyNumberFormat="1">
      <alignment vertical="bottom"/>
    </xf>
    <xf borderId="4" fillId="0" fontId="5" numFmtId="0" xfId="0" applyAlignment="1" applyBorder="1" applyFont="1">
      <alignment vertical="bottom"/>
    </xf>
    <xf borderId="4" fillId="0" fontId="2" numFmtId="167" xfId="0" applyAlignment="1" applyBorder="1" applyFont="1" applyNumberFormat="1">
      <alignment horizontal="center" vertical="bottom"/>
    </xf>
    <xf borderId="5" fillId="0" fontId="2" numFmtId="168" xfId="0" applyAlignment="1" applyBorder="1" applyFont="1" applyNumberFormat="1">
      <alignment horizontal="center" vertical="bottom"/>
    </xf>
    <xf borderId="5" fillId="0" fontId="2" numFmtId="166" xfId="0" applyAlignment="1" applyBorder="1" applyFont="1" applyNumberFormat="1">
      <alignment vertical="bottom"/>
    </xf>
    <xf borderId="5" fillId="0" fontId="2" numFmtId="49" xfId="0" applyAlignment="1" applyBorder="1" applyFont="1" applyNumberFormat="1">
      <alignment shrinkToFit="0" vertical="bottom" wrapText="1"/>
    </xf>
    <xf borderId="5" fillId="0" fontId="2" numFmtId="0" xfId="0" applyAlignment="1" applyBorder="1" applyFont="1">
      <alignment horizontal="center" vertical="bottom"/>
    </xf>
    <xf borderId="5" fillId="0" fontId="2" numFmtId="167" xfId="0" applyAlignment="1" applyBorder="1" applyFont="1" applyNumberFormat="1">
      <alignment horizontal="center" vertical="bottom"/>
    </xf>
    <xf borderId="5" fillId="0" fontId="2" numFmtId="49" xfId="0" applyAlignment="1" applyBorder="1" applyFont="1" applyNumberFormat="1">
      <alignment vertical="bottom"/>
    </xf>
    <xf borderId="0" fillId="0" fontId="5" numFmtId="4" xfId="0" applyAlignment="1" applyFont="1" applyNumberFormat="1">
      <alignment vertical="bottom"/>
    </xf>
    <xf borderId="5" fillId="0" fontId="2" numFmtId="169" xfId="0" applyAlignment="1" applyBorder="1" applyFont="1" applyNumberFormat="1">
      <alignment horizontal="center" vertical="bottom"/>
    </xf>
    <xf borderId="5" fillId="0" fontId="2" numFmtId="4" xfId="0" applyAlignment="1" applyBorder="1" applyFont="1" applyNumberFormat="1">
      <alignment vertical="bottom"/>
    </xf>
    <xf borderId="5" fillId="0" fontId="2" numFmtId="4" xfId="0" applyAlignment="1" applyBorder="1" applyFont="1" applyNumberFormat="1">
      <alignment horizontal="right" vertical="bottom"/>
    </xf>
    <xf borderId="5" fillId="0" fontId="4" numFmtId="4" xfId="0" applyAlignment="1" applyBorder="1" applyFont="1" applyNumberFormat="1">
      <alignment horizontal="right" vertical="bottom"/>
    </xf>
    <xf borderId="5" fillId="0" fontId="4" numFmtId="166" xfId="0" applyAlignment="1" applyBorder="1" applyFont="1" applyNumberFormat="1">
      <alignment horizontal="right" vertical="bottom"/>
    </xf>
    <xf borderId="5" fillId="0" fontId="5" numFmtId="164" xfId="0" applyAlignment="1" applyBorder="1" applyFont="1" applyNumberForma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2" numFmtId="3" xfId="0" applyFont="1" applyNumberFormat="1"/>
    <xf borderId="0" fillId="0" fontId="2" numFmtId="3" xfId="0" applyAlignment="1" applyFont="1" applyNumberFormat="1">
      <alignment readingOrder="0"/>
    </xf>
    <xf borderId="0" fillId="0" fontId="6" numFmtId="0" xfId="0" applyAlignment="1" applyFont="1">
      <alignment readingOrder="0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horizontal="center" readingOrder="0" vertical="bottom"/>
    </xf>
    <xf borderId="1" fillId="2" fontId="4" numFmtId="164" xfId="0" applyAlignment="1" applyBorder="1" applyFont="1" applyNumberFormat="1">
      <alignment horizontal="center" vertical="bottom"/>
    </xf>
    <xf borderId="1" fillId="2" fontId="4" numFmtId="3" xfId="0" applyAlignment="1" applyBorder="1" applyFont="1" applyNumberFormat="1">
      <alignment horizontal="center" vertical="bottom"/>
    </xf>
    <xf borderId="2" fillId="2" fontId="4" numFmtId="170" xfId="0" applyAlignment="1" applyBorder="1" applyFont="1" applyNumberFormat="1">
      <alignment horizontal="center" vertical="bottom"/>
    </xf>
    <xf borderId="2" fillId="2" fontId="4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15" xfId="0" applyAlignment="1" applyBorder="1" applyFont="1" applyNumberFormat="1">
      <alignment horizontal="center" readingOrder="0" vertical="bottom"/>
    </xf>
    <xf borderId="5" fillId="0" fontId="2" numFmtId="4" xfId="0" applyAlignment="1" applyBorder="1" applyFont="1" applyNumberFormat="1">
      <alignment horizontal="right" readingOrder="0" vertical="bottom"/>
    </xf>
    <xf borderId="5" fillId="0" fontId="2" numFmtId="3" xfId="0" applyAlignment="1" applyBorder="1" applyFont="1" applyNumberFormat="1">
      <alignment vertical="bottom"/>
    </xf>
    <xf borderId="5" fillId="0" fontId="2" numFmtId="3" xfId="0" applyAlignment="1" applyBorder="1" applyFont="1" applyNumberFormat="1">
      <alignment horizontal="right" vertical="bottom"/>
    </xf>
    <xf borderId="0" fillId="0" fontId="2" numFmtId="3" xfId="0" applyAlignment="1" applyFont="1" applyNumberFormat="1">
      <alignment horizontal="center" vertical="bottom"/>
    </xf>
    <xf borderId="0" fillId="0" fontId="7" numFmtId="0" xfId="0" applyAlignment="1" applyFont="1">
      <alignment readingOrder="0"/>
    </xf>
    <xf borderId="5" fillId="0" fontId="2" numFmtId="171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readingOrder="0"/>
    </xf>
    <xf borderId="5" fillId="0" fontId="9" numFmtId="0" xfId="0" applyAlignment="1" applyBorder="1" applyFont="1">
      <alignment horizontal="center" readingOrder="0" vertical="bottom"/>
    </xf>
    <xf borderId="0" fillId="3" fontId="2" numFmtId="0" xfId="0" applyAlignment="1" applyFill="1" applyFont="1">
      <alignment readingOrder="0"/>
    </xf>
    <xf borderId="5" fillId="0" fontId="2" numFmtId="37" xfId="0" applyAlignment="1" applyBorder="1" applyFont="1" applyNumberFormat="1">
      <alignment readingOrder="0" vertical="bottom"/>
    </xf>
    <xf borderId="5" fillId="0" fontId="2" numFmtId="15" xfId="0" applyAlignment="1" applyBorder="1" applyFont="1" applyNumberFormat="1">
      <alignment horizontal="center" vertical="bottom"/>
    </xf>
    <xf borderId="5" fillId="0" fontId="2" numFmtId="164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5" fillId="0" fontId="2" numFmtId="3" xfId="0" applyAlignment="1" applyBorder="1" applyFont="1" applyNumberFormat="1">
      <alignment horizontal="right" readingOrder="0" vertical="bottom"/>
    </xf>
    <xf borderId="5" fillId="0" fontId="2" numFmtId="172" xfId="0" applyAlignment="1" applyBorder="1" applyFont="1" applyNumberFormat="1">
      <alignment horizontal="center" readingOrder="0" vertical="bottom"/>
    </xf>
    <xf borderId="5" fillId="0" fontId="2" numFmtId="37" xfId="0" applyAlignment="1" applyBorder="1" applyFont="1" applyNumberFormat="1">
      <alignment readingOrder="0" vertical="top"/>
    </xf>
    <xf borderId="5" fillId="0" fontId="2" numFmtId="3" xfId="0" applyAlignment="1" applyBorder="1" applyFont="1" applyNumberFormat="1">
      <alignment readingOrder="0" vertical="bottom"/>
    </xf>
    <xf borderId="5" fillId="0" fontId="2" numFmtId="1" xfId="0" applyAlignment="1" applyBorder="1" applyFont="1" applyNumberFormat="1">
      <alignment vertical="bottom"/>
    </xf>
    <xf borderId="5" fillId="0" fontId="2" numFmtId="4" xfId="0" applyAlignment="1" applyBorder="1" applyFont="1" applyNumberFormat="1">
      <alignment readingOrder="0" vertical="bottom"/>
    </xf>
    <xf borderId="5" fillId="0" fontId="4" numFmtId="3" xfId="0" applyAlignment="1" applyBorder="1" applyFont="1" applyNumberFormat="1">
      <alignment horizontal="right" vertical="bottom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5" fillId="4" fontId="2" numFmtId="0" xfId="0" applyAlignment="1" applyBorder="1" applyFill="1" applyFont="1">
      <alignment readingOrder="0" vertical="bottom"/>
    </xf>
    <xf borderId="5" fillId="5" fontId="2" numFmtId="37" xfId="0" applyAlignment="1" applyBorder="1" applyFill="1" applyFont="1" applyNumberFormat="1">
      <alignment readingOrder="0" vertical="bottom"/>
    </xf>
    <xf borderId="5" fillId="6" fontId="2" numFmtId="4" xfId="0" applyAlignment="1" applyBorder="1" applyFill="1" applyFont="1" applyNumberFormat="1">
      <alignment horizontal="right" readingOrder="0" vertical="bottom"/>
    </xf>
    <xf borderId="5" fillId="6" fontId="2" numFmtId="3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5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37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0" fillId="7" fontId="2" numFmtId="0" xfId="0" applyAlignment="1" applyFill="1" applyFont="1">
      <alignment vertical="bottom"/>
    </xf>
    <xf borderId="0" fillId="7" fontId="2" numFmtId="0" xfId="0" applyAlignment="1" applyFont="1">
      <alignment readingOrder="0" vertical="bottom"/>
    </xf>
    <xf borderId="0" fillId="7" fontId="2" numFmtId="37" xfId="0" applyAlignment="1" applyFont="1" applyNumberFormat="1">
      <alignment readingOrder="0" vertical="bottom"/>
    </xf>
    <xf borderId="0" fillId="7" fontId="2" numFmtId="0" xfId="0" applyAlignment="1" applyFont="1">
      <alignment horizontal="center" vertical="bottom"/>
    </xf>
    <xf borderId="0" fillId="7" fontId="10" numFmtId="0" xfId="0" applyAlignment="1" applyFont="1">
      <alignment readingOrder="0"/>
    </xf>
    <xf borderId="5" fillId="7" fontId="11" numFmtId="0" xfId="0" applyAlignment="1" applyBorder="1" applyFont="1">
      <alignment horizontal="center" readingOrder="0" vertical="bottom"/>
    </xf>
    <xf borderId="0" fillId="7" fontId="2" numFmtId="164" xfId="0" applyAlignment="1" applyFont="1" applyNumberFormat="1">
      <alignment horizontal="center" readingOrder="0" vertical="bottom"/>
    </xf>
    <xf borderId="5" fillId="7" fontId="2" numFmtId="3" xfId="0" applyAlignment="1" applyBorder="1" applyFont="1" applyNumberFormat="1">
      <alignment horizontal="right" readingOrder="0" vertical="bottom"/>
    </xf>
    <xf borderId="5" fillId="7" fontId="2" numFmtId="3" xfId="0" applyAlignment="1" applyBorder="1" applyFont="1" applyNumberFormat="1">
      <alignment vertical="bottom"/>
    </xf>
    <xf borderId="0" fillId="7" fontId="2" numFmtId="3" xfId="0" applyAlignment="1" applyFont="1" applyNumberFormat="1">
      <alignment horizontal="center" vertical="bottom"/>
    </xf>
    <xf borderId="0" fillId="7" fontId="2" numFmtId="0" xfId="0" applyAlignment="1" applyFont="1">
      <alignment readingOrder="0"/>
    </xf>
    <xf borderId="0" fillId="7" fontId="2" numFmtId="0" xfId="0" applyFont="1"/>
    <xf borderId="0" fillId="0" fontId="2" numFmtId="173" xfId="0" applyAlignment="1" applyFont="1" applyNumberFormat="1">
      <alignment horizontal="center" readingOrder="0" vertical="bottom"/>
    </xf>
    <xf borderId="0" fillId="0" fontId="12" numFmtId="0" xfId="0" applyAlignment="1" applyFont="1">
      <alignment horizontal="center" readingOrder="0" vertical="bottom"/>
    </xf>
    <xf borderId="5" fillId="0" fontId="6" numFmtId="3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0" fillId="0" fontId="2" numFmtId="15" xfId="0" applyAlignment="1" applyFont="1" applyNumberFormat="1">
      <alignment vertical="bottom"/>
    </xf>
    <xf borderId="0" fillId="0" fontId="13" numFmtId="0" xfId="0" applyAlignment="1" applyFont="1">
      <alignment readingOrder="0" vertical="bottom"/>
    </xf>
    <xf borderId="0" fillId="0" fontId="2" numFmtId="174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2" numFmtId="175" xfId="0" applyAlignment="1" applyFont="1" applyNumberFormat="1">
      <alignment readingOrder="0"/>
    </xf>
    <xf borderId="5" fillId="0" fontId="14" numFmtId="0" xfId="0" applyAlignment="1" applyBorder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4" fontId="2" numFmtId="37" xfId="0" applyAlignment="1" applyFont="1" applyNumberFormat="1">
      <alignment readingOrder="0" vertical="bottom"/>
    </xf>
    <xf borderId="0" fillId="8" fontId="2" numFmtId="0" xfId="0" applyAlignment="1" applyFill="1" applyFont="1">
      <alignment readingOrder="0" vertical="bottom"/>
    </xf>
    <xf borderId="0" fillId="0" fontId="15" numFmtId="3" xfId="0" applyAlignment="1" applyFont="1" applyNumberFormat="1">
      <alignment horizontal="center" readingOrder="0" vertical="bottom"/>
    </xf>
    <xf borderId="0" fillId="0" fontId="2" numFmtId="172" xfId="0" applyAlignment="1" applyFont="1" applyNumberFormat="1">
      <alignment readingOrder="0" vertical="bottom"/>
    </xf>
    <xf borderId="5" fillId="0" fontId="4" numFmtId="3" xfId="0" applyAlignment="1" applyBorder="1" applyFont="1" applyNumberFormat="1">
      <alignment vertical="bottom"/>
    </xf>
    <xf borderId="5" fillId="0" fontId="4" numFmtId="3" xfId="0" applyAlignment="1" applyBorder="1" applyFont="1" applyNumberFormat="1">
      <alignment readingOrder="0" vertical="bottom"/>
    </xf>
    <xf borderId="0" fillId="0" fontId="2" numFmtId="3" xfId="0" applyAlignment="1" applyFont="1" applyNumberFormat="1">
      <alignment horizontal="center" readingOrder="0" vertical="bottom"/>
    </xf>
    <xf borderId="0" fillId="0" fontId="2" numFmtId="10" xfId="0" applyFont="1" applyNumberFormat="1"/>
    <xf borderId="0" fillId="0" fontId="3" numFmtId="10" xfId="0" applyFont="1" applyNumberFormat="1"/>
    <xf borderId="0" fillId="0" fontId="3" numFmtId="3" xfId="0" applyFont="1" applyNumberFormat="1"/>
    <xf borderId="0" fillId="7" fontId="2" numFmtId="15" xfId="0" applyAlignment="1" applyFont="1" applyNumberFormat="1">
      <alignment vertical="bottom"/>
    </xf>
    <xf borderId="0" fillId="7" fontId="16" numFmtId="0" xfId="0" applyAlignment="1" applyFont="1">
      <alignment readingOrder="0" vertical="bottom"/>
    </xf>
    <xf borderId="5" fillId="7" fontId="2" numFmtId="3" xfId="0" applyAlignment="1" applyBorder="1" applyFont="1" applyNumberFormat="1">
      <alignment readingOrder="0" vertical="bottom"/>
    </xf>
    <xf borderId="0" fillId="7" fontId="2" numFmtId="164" xfId="0" applyAlignment="1" applyFont="1" applyNumberFormat="1">
      <alignment vertical="bottom"/>
    </xf>
    <xf borderId="0" fillId="0" fontId="6" numFmtId="37" xfId="0" applyAlignment="1" applyFont="1" applyNumberFormat="1">
      <alignment readingOrder="0" vertical="bottom"/>
    </xf>
    <xf borderId="0" fillId="0" fontId="6" numFmtId="15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5" fillId="0" fontId="6" numFmtId="3" xfId="0" applyAlignment="1" applyBorder="1" applyFont="1" applyNumberFormat="1">
      <alignment readingOrder="0" vertical="bottom"/>
    </xf>
    <xf borderId="5" fillId="0" fontId="6" numFmtId="3" xfId="0" applyAlignment="1" applyBorder="1" applyFont="1" applyNumberFormat="1">
      <alignment vertical="bottom"/>
    </xf>
    <xf borderId="0" fillId="0" fontId="6" numFmtId="3" xfId="0" applyAlignment="1" applyFont="1" applyNumberFormat="1">
      <alignment horizontal="center" vertical="bottom"/>
    </xf>
    <xf borderId="0" fillId="0" fontId="17" numFmtId="0" xfId="0" applyAlignment="1" applyFont="1">
      <alignment readingOrder="0"/>
    </xf>
    <xf borderId="0" fillId="0" fontId="6" numFmtId="0" xfId="0" applyFont="1"/>
    <xf borderId="0" fillId="0" fontId="18" numFmtId="0" xfId="0" applyAlignment="1" applyFont="1">
      <alignment readingOrder="0"/>
    </xf>
    <xf borderId="5" fillId="0" fontId="19" numFmtId="3" xfId="0" applyAlignment="1" applyBorder="1" applyFont="1" applyNumberFormat="1">
      <alignment readingOrder="0" vertical="bottom"/>
    </xf>
    <xf borderId="0" fillId="0" fontId="2" numFmtId="37" xfId="0" applyAlignment="1" applyFont="1" applyNumberFormat="1">
      <alignment vertical="bottom"/>
    </xf>
    <xf borderId="0" fillId="0" fontId="20" numFmtId="15" xfId="0" applyAlignment="1" applyFont="1" applyNumberFormat="1">
      <alignment vertical="bottom"/>
    </xf>
    <xf borderId="6" fillId="2" fontId="2" numFmtId="0" xfId="0" applyAlignment="1" applyBorder="1" applyFont="1">
      <alignment vertical="bottom"/>
    </xf>
    <xf borderId="6" fillId="2" fontId="2" numFmtId="15" xfId="0" applyAlignment="1" applyBorder="1" applyFont="1" applyNumberFormat="1">
      <alignment vertical="bottom"/>
    </xf>
    <xf borderId="6" fillId="2" fontId="2" numFmtId="37" xfId="0" applyAlignment="1" applyBorder="1" applyFont="1" applyNumberFormat="1">
      <alignment vertical="bottom"/>
    </xf>
    <xf borderId="6" fillId="2" fontId="20" numFmtId="15" xfId="0" applyAlignment="1" applyBorder="1" applyFont="1" applyNumberFormat="1">
      <alignment vertical="bottom"/>
    </xf>
    <xf borderId="6" fillId="2" fontId="2" numFmtId="164" xfId="0" applyAlignment="1" applyBorder="1" applyFont="1" applyNumberFormat="1">
      <alignment vertical="bottom"/>
    </xf>
    <xf borderId="7" fillId="2" fontId="2" numFmtId="3" xfId="0" applyAlignment="1" applyBorder="1" applyFont="1" applyNumberFormat="1">
      <alignment vertical="bottom"/>
    </xf>
    <xf borderId="7" fillId="2" fontId="2" numFmtId="170" xfId="0" applyAlignment="1" applyBorder="1" applyFont="1" applyNumberFormat="1">
      <alignment vertical="bottom"/>
    </xf>
    <xf borderId="8" fillId="2" fontId="2" numFmtId="0" xfId="0" applyAlignment="1" applyBorder="1" applyFont="1">
      <alignment vertical="bottom"/>
    </xf>
    <xf borderId="9" fillId="2" fontId="2" numFmtId="0" xfId="0" applyAlignment="1" applyBorder="1" applyFont="1">
      <alignment vertical="bottom"/>
    </xf>
    <xf borderId="9" fillId="2" fontId="20" numFmtId="0" xfId="0" applyAlignment="1" applyBorder="1" applyFont="1">
      <alignment vertical="bottom"/>
    </xf>
    <xf borderId="9" fillId="2" fontId="2" numFmtId="164" xfId="0" applyAlignment="1" applyBorder="1" applyFont="1" applyNumberFormat="1">
      <alignment vertical="bottom"/>
    </xf>
    <xf borderId="10" fillId="2" fontId="4" numFmtId="3" xfId="0" applyAlignment="1" applyBorder="1" applyFont="1" applyNumberFormat="1">
      <alignment horizontal="right" vertical="bottom"/>
    </xf>
    <xf borderId="11" fillId="2" fontId="2" numFmtId="170" xfId="0" applyAlignment="1" applyBorder="1" applyFont="1" applyNumberFormat="1">
      <alignment vertical="bottom"/>
    </xf>
    <xf borderId="0" fillId="0" fontId="20" numFmtId="0" xfId="0" applyFont="1"/>
    <xf borderId="0" fillId="9" fontId="4" numFmtId="0" xfId="0" applyAlignment="1" applyFill="1" applyFont="1">
      <alignment horizontal="center" readingOrder="0"/>
    </xf>
    <xf borderId="0" fillId="0" fontId="2" numFmtId="4" xfId="0" applyAlignment="1" applyFont="1" applyNumberFormat="1">
      <alignment horizontal="center"/>
    </xf>
    <xf borderId="0" fillId="0" fontId="21" numFmtId="0" xfId="0" applyFont="1"/>
    <xf borderId="0" fillId="0" fontId="22" numFmtId="0" xfId="0" applyAlignment="1" applyFont="1">
      <alignment readingOrder="0"/>
    </xf>
    <xf borderId="7" fillId="2" fontId="2" numFmtId="0" xfId="0" applyAlignment="1" applyBorder="1" applyFont="1">
      <alignment vertical="bottom"/>
    </xf>
    <xf borderId="7" fillId="2" fontId="2" numFmtId="0" xfId="0" applyAlignment="1" applyBorder="1" applyFont="1">
      <alignment horizontal="left" vertical="bottom"/>
    </xf>
    <xf borderId="7" fillId="2" fontId="2" numFmtId="0" xfId="0" applyAlignment="1" applyBorder="1" applyFont="1">
      <alignment horizontal="center" vertical="bottom"/>
    </xf>
    <xf borderId="12" fillId="10" fontId="23" numFmtId="4" xfId="0" applyAlignment="1" applyBorder="1" applyFill="1" applyFont="1" applyNumberFormat="1">
      <alignment horizontal="center" vertical="bottom"/>
    </xf>
    <xf borderId="12" fillId="10" fontId="23" numFmtId="164" xfId="0" applyAlignment="1" applyBorder="1" applyFont="1" applyNumberFormat="1">
      <alignment horizontal="center" vertical="bottom"/>
    </xf>
    <xf borderId="13" fillId="10" fontId="23" numFmtId="164" xfId="0" applyAlignment="1" applyBorder="1" applyFont="1" applyNumberFormat="1">
      <alignment horizontal="center" vertical="bottom"/>
    </xf>
    <xf borderId="14" fillId="0" fontId="24" numFmtId="0" xfId="0" applyBorder="1" applyFont="1"/>
    <xf borderId="15" fillId="0" fontId="24" numFmtId="0" xfId="0" applyBorder="1" applyFont="1"/>
    <xf borderId="3" fillId="10" fontId="2" numFmtId="0" xfId="0" applyAlignment="1" applyBorder="1" applyFont="1">
      <alignment horizontal="center" vertical="bottom"/>
    </xf>
    <xf borderId="16" fillId="2" fontId="2" numFmtId="0" xfId="0" applyAlignment="1" applyBorder="1" applyFont="1">
      <alignment horizontal="center" shrinkToFit="0" vertical="bottom" wrapText="0"/>
    </xf>
    <xf borderId="3" fillId="2" fontId="2" numFmtId="0" xfId="0" applyAlignment="1" applyBorder="1" applyFont="1">
      <alignment horizontal="center" readingOrder="0" vertical="bottom"/>
    </xf>
    <xf borderId="17" fillId="2" fontId="4" numFmtId="0" xfId="0" applyAlignment="1" applyBorder="1" applyFont="1">
      <alignment horizontal="center" vertical="bottom"/>
    </xf>
    <xf borderId="17" fillId="2" fontId="4" numFmtId="0" xfId="0" applyAlignment="1" applyBorder="1" applyFont="1">
      <alignment horizontal="center" readingOrder="0" vertical="bottom"/>
    </xf>
    <xf borderId="1" fillId="10" fontId="4" numFmtId="4" xfId="0" applyAlignment="1" applyBorder="1" applyFont="1" applyNumberFormat="1">
      <alignment horizontal="center" vertical="bottom"/>
    </xf>
    <xf borderId="1" fillId="10" fontId="4" numFmtId="3" xfId="0" applyAlignment="1" applyBorder="1" applyFont="1" applyNumberFormat="1">
      <alignment horizontal="center" vertical="bottom"/>
    </xf>
    <xf borderId="18" fillId="10" fontId="25" numFmtId="164" xfId="0" applyAlignment="1" applyBorder="1" applyFont="1" applyNumberFormat="1">
      <alignment horizontal="center" vertical="bottom"/>
    </xf>
    <xf borderId="19" fillId="10" fontId="25" numFmtId="176" xfId="0" applyAlignment="1" applyBorder="1" applyFont="1" applyNumberFormat="1">
      <alignment horizontal="center" vertical="bottom"/>
    </xf>
    <xf borderId="20" fillId="10" fontId="25" numFmtId="0" xfId="0" applyAlignment="1" applyBorder="1" applyFont="1">
      <alignment horizontal="center" vertical="bottom"/>
    </xf>
    <xf borderId="21" fillId="10" fontId="26" numFmtId="0" xfId="0" applyAlignment="1" applyBorder="1" applyFont="1">
      <alignment horizontal="center" vertical="bottom"/>
    </xf>
    <xf borderId="17" fillId="10" fontId="25" numFmtId="0" xfId="0" applyAlignment="1" applyBorder="1" applyFont="1">
      <alignment horizontal="center" vertical="bottom"/>
    </xf>
    <xf borderId="17" fillId="10" fontId="4" numFmtId="0" xfId="0" applyAlignment="1" applyBorder="1" applyFont="1">
      <alignment horizontal="center" vertical="bottom"/>
    </xf>
    <xf borderId="17" fillId="2" fontId="2" numFmtId="0" xfId="0" applyAlignment="1" applyBorder="1" applyFont="1">
      <alignment vertical="bottom"/>
    </xf>
    <xf borderId="22" fillId="2" fontId="2" numFmtId="0" xfId="0" applyAlignment="1" applyBorder="1" applyFont="1">
      <alignment horizontal="center" shrinkToFit="0" vertical="bottom" wrapText="0"/>
    </xf>
    <xf borderId="5" fillId="0" fontId="2" numFmtId="15" xfId="0" applyAlignment="1" applyBorder="1" applyFont="1" applyNumberFormat="1">
      <alignment vertical="bottom"/>
    </xf>
    <xf borderId="5" fillId="0" fontId="2" numFmtId="0" xfId="0" applyAlignment="1" applyBorder="1" applyFont="1">
      <alignment horizontal="left" readingOrder="0" vertical="bottom"/>
    </xf>
    <xf borderId="5" fillId="10" fontId="27" numFmtId="4" xfId="0" applyAlignment="1" applyBorder="1" applyFont="1" applyNumberFormat="1">
      <alignment horizontal="center" readingOrder="0" vertical="bottom"/>
    </xf>
    <xf borderId="5" fillId="10" fontId="27" numFmtId="177" xfId="0" applyAlignment="1" applyBorder="1" applyFont="1" applyNumberFormat="1">
      <alignment horizontal="center" readingOrder="0" vertical="bottom"/>
    </xf>
    <xf borderId="5" fillId="10" fontId="27" numFmtId="3" xfId="0" applyAlignment="1" applyBorder="1" applyFont="1" applyNumberFormat="1">
      <alignment horizontal="center" readingOrder="0" vertical="bottom"/>
    </xf>
    <xf borderId="5" fillId="10" fontId="27" numFmtId="0" xfId="0" applyAlignment="1" applyBorder="1" applyFont="1">
      <alignment horizontal="center" readingOrder="0" vertical="bottom"/>
    </xf>
    <xf borderId="5" fillId="10" fontId="2" numFmtId="166" xfId="0" applyAlignment="1" applyBorder="1" applyFont="1" applyNumberFormat="1">
      <alignment horizontal="right" readingOrder="0" vertical="bottom"/>
    </xf>
    <xf borderId="5" fillId="10" fontId="28" numFmtId="0" xfId="0" applyAlignment="1" applyBorder="1" applyFont="1">
      <alignment horizontal="center" readingOrder="0"/>
    </xf>
    <xf borderId="5" fillId="10" fontId="2" numFmtId="166" xfId="0" applyBorder="1" applyFont="1" applyNumberFormat="1"/>
    <xf borderId="5" fillId="10" fontId="2" numFmtId="166" xfId="0" applyAlignment="1" applyBorder="1" applyFont="1" applyNumberFormat="1">
      <alignment horizontal="right" vertical="bottom"/>
    </xf>
    <xf borderId="5" fillId="0" fontId="2" numFmtId="3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shrinkToFit="0" vertical="bottom" wrapText="0"/>
    </xf>
    <xf borderId="5" fillId="7" fontId="2" numFmtId="4" xfId="0" applyAlignment="1" applyBorder="1" applyFont="1" applyNumberFormat="1">
      <alignment readingOrder="0" vertical="bottom"/>
    </xf>
    <xf borderId="5" fillId="10" fontId="29" numFmtId="4" xfId="0" applyAlignment="1" applyBorder="1" applyFont="1" applyNumberFormat="1">
      <alignment horizontal="center" readingOrder="0" vertical="bottom"/>
    </xf>
    <xf borderId="5" fillId="10" fontId="29" numFmtId="3" xfId="0" applyAlignment="1" applyBorder="1" applyFont="1" applyNumberFormat="1">
      <alignment horizontal="center" readingOrder="0" vertical="bottom"/>
    </xf>
    <xf borderId="5" fillId="10" fontId="29" numFmtId="0" xfId="0" applyAlignment="1" applyBorder="1" applyFont="1">
      <alignment horizontal="center" readingOrder="0" vertical="bottom"/>
    </xf>
    <xf borderId="0" fillId="0" fontId="30" numFmtId="0" xfId="0" applyAlignment="1" applyFont="1">
      <alignment readingOrder="0"/>
    </xf>
    <xf borderId="5" fillId="7" fontId="29" numFmtId="3" xfId="0" applyAlignment="1" applyBorder="1" applyFont="1" applyNumberFormat="1">
      <alignment horizontal="center" readingOrder="0" vertical="bottom"/>
    </xf>
    <xf borderId="5" fillId="10" fontId="31" numFmtId="166" xfId="0" applyAlignment="1" applyBorder="1" applyFont="1" applyNumberFormat="1">
      <alignment horizontal="right" readingOrder="0" vertical="bottom"/>
    </xf>
    <xf borderId="5" fillId="10" fontId="32" numFmtId="4" xfId="0" applyAlignment="1" applyBorder="1" applyFont="1" applyNumberFormat="1">
      <alignment horizontal="center" readingOrder="0" vertical="bottom"/>
    </xf>
    <xf borderId="5" fillId="10" fontId="32" numFmtId="3" xfId="0" applyAlignment="1" applyBorder="1" applyFont="1" applyNumberFormat="1">
      <alignment horizontal="center" readingOrder="0" vertical="bottom"/>
    </xf>
    <xf borderId="5" fillId="10" fontId="32" numFmtId="0" xfId="0" applyAlignment="1" applyBorder="1" applyFont="1">
      <alignment horizontal="center" readingOrder="0" vertical="bottom"/>
    </xf>
    <xf borderId="5" fillId="10" fontId="2" numFmtId="4" xfId="0" applyAlignment="1" applyBorder="1" applyFont="1" applyNumberFormat="1">
      <alignment horizontal="center" readingOrder="0" vertical="bottom"/>
    </xf>
    <xf borderId="5" fillId="10" fontId="2" numFmtId="178" xfId="0" applyAlignment="1" applyBorder="1" applyFont="1" applyNumberFormat="1">
      <alignment horizontal="center" readingOrder="0" vertical="bottom"/>
    </xf>
    <xf borderId="5" fillId="10" fontId="2" numFmtId="3" xfId="0" applyAlignment="1" applyBorder="1" applyFont="1" applyNumberFormat="1">
      <alignment horizontal="center" readingOrder="0" vertical="bottom"/>
    </xf>
    <xf borderId="5" fillId="10" fontId="21" numFmtId="178" xfId="0" applyAlignment="1" applyBorder="1" applyFont="1" applyNumberFormat="1">
      <alignment horizontal="center" readingOrder="0" vertical="bottom"/>
    </xf>
    <xf borderId="5" fillId="10" fontId="29" numFmtId="178" xfId="0" applyAlignment="1" applyBorder="1" applyFont="1" applyNumberFormat="1">
      <alignment horizontal="center" readingOrder="0" vertical="bottom"/>
    </xf>
    <xf borderId="5" fillId="10" fontId="21" numFmtId="166" xfId="0" applyAlignment="1" applyBorder="1" applyFont="1" applyNumberFormat="1">
      <alignment horizontal="center" vertical="bottom"/>
    </xf>
    <xf borderId="5" fillId="0" fontId="2" numFmtId="3" xfId="0" applyAlignment="1" applyBorder="1" applyFont="1" applyNumberFormat="1">
      <alignment horizontal="center" readingOrder="0" vertical="bottom"/>
    </xf>
    <xf borderId="5" fillId="0" fontId="33" numFmtId="15" xfId="0" applyAlignment="1" applyBorder="1" applyFont="1" applyNumberFormat="1">
      <alignment horizontal="left" vertical="bottom"/>
    </xf>
    <xf borderId="5" fillId="0" fontId="34" numFmtId="15" xfId="0" applyAlignment="1" applyBorder="1" applyFont="1" applyNumberFormat="1">
      <alignment horizontal="center" vertical="bottom"/>
    </xf>
    <xf borderId="5" fillId="0" fontId="2" numFmtId="15" xfId="0" applyAlignment="1" applyBorder="1" applyFont="1" applyNumberFormat="1">
      <alignment horizontal="left" vertical="bottom"/>
    </xf>
    <xf borderId="5" fillId="10" fontId="2" numFmtId="166" xfId="0" applyAlignment="1" applyBorder="1" applyFont="1" applyNumberFormat="1">
      <alignment vertical="bottom"/>
    </xf>
    <xf borderId="5" fillId="10" fontId="29" numFmtId="166" xfId="0" applyAlignment="1" applyBorder="1" applyFont="1" applyNumberFormat="1">
      <alignment horizontal="right" vertical="bottom"/>
    </xf>
    <xf borderId="5" fillId="10" fontId="32" numFmtId="178" xfId="0" applyAlignment="1" applyBorder="1" applyFont="1" applyNumberFormat="1">
      <alignment horizontal="center" readingOrder="0" vertical="bottom"/>
    </xf>
    <xf borderId="5" fillId="7" fontId="2" numFmtId="15" xfId="0" applyAlignment="1" applyBorder="1" applyFont="1" applyNumberFormat="1">
      <alignment vertical="bottom"/>
    </xf>
    <xf borderId="5" fillId="7" fontId="2" numFmtId="0" xfId="0" applyAlignment="1" applyBorder="1" applyFont="1">
      <alignment readingOrder="0" vertical="bottom"/>
    </xf>
    <xf borderId="5" fillId="10" fontId="32" numFmtId="4" xfId="0" applyAlignment="1" applyBorder="1" applyFont="1" applyNumberFormat="1">
      <alignment horizontal="center" vertical="bottom"/>
    </xf>
    <xf borderId="5" fillId="10" fontId="32" numFmtId="178" xfId="0" applyAlignment="1" applyBorder="1" applyFont="1" applyNumberFormat="1">
      <alignment horizontal="center" vertical="bottom"/>
    </xf>
    <xf borderId="5" fillId="10" fontId="32" numFmtId="3" xfId="0" applyAlignment="1" applyBorder="1" applyFont="1" applyNumberFormat="1">
      <alignment horizontal="center" vertical="bottom"/>
    </xf>
    <xf borderId="5" fillId="7" fontId="2" numFmtId="15" xfId="0" applyAlignment="1" applyBorder="1" applyFont="1" applyNumberFormat="1">
      <alignment horizontal="center" vertical="bottom"/>
    </xf>
    <xf borderId="5" fillId="7" fontId="35" numFmtId="15" xfId="0" applyAlignment="1" applyBorder="1" applyFont="1" applyNumberFormat="1">
      <alignment horizontal="left" vertical="bottom"/>
    </xf>
    <xf borderId="5" fillId="7" fontId="36" numFmtId="15" xfId="0" applyAlignment="1" applyBorder="1" applyFont="1" applyNumberFormat="1">
      <alignment horizontal="center" vertical="bottom"/>
    </xf>
    <xf borderId="5" fillId="7" fontId="2" numFmtId="0" xfId="0" applyAlignment="1" applyBorder="1" applyFont="1">
      <alignment vertical="bottom"/>
    </xf>
    <xf borderId="5" fillId="7" fontId="2" numFmtId="166" xfId="0" applyAlignment="1" applyBorder="1" applyFont="1" applyNumberFormat="1">
      <alignment horizontal="right" vertical="bottom"/>
    </xf>
    <xf borderId="5" fillId="7" fontId="32" numFmtId="4" xfId="0" applyAlignment="1" applyBorder="1" applyFont="1" applyNumberFormat="1">
      <alignment horizontal="center" vertical="bottom"/>
    </xf>
    <xf borderId="5" fillId="7" fontId="32" numFmtId="178" xfId="0" applyAlignment="1" applyBorder="1" applyFont="1" applyNumberFormat="1">
      <alignment horizontal="center" vertical="bottom"/>
    </xf>
    <xf borderId="5" fillId="7" fontId="32" numFmtId="3" xfId="0" applyAlignment="1" applyBorder="1" applyFont="1" applyNumberFormat="1">
      <alignment horizontal="center" vertical="bottom"/>
    </xf>
    <xf borderId="5" fillId="7" fontId="32" numFmtId="178" xfId="0" applyAlignment="1" applyBorder="1" applyFont="1" applyNumberFormat="1">
      <alignment horizontal="center" readingOrder="0" vertical="bottom"/>
    </xf>
    <xf borderId="5" fillId="7" fontId="29" numFmtId="0" xfId="0" applyAlignment="1" applyBorder="1" applyFont="1">
      <alignment horizontal="center" readingOrder="0" vertical="bottom"/>
    </xf>
    <xf borderId="5" fillId="7" fontId="2" numFmtId="166" xfId="0" applyAlignment="1" applyBorder="1" applyFont="1" applyNumberFormat="1">
      <alignment horizontal="right" readingOrder="0" vertical="bottom"/>
    </xf>
    <xf borderId="5" fillId="7" fontId="21" numFmtId="178" xfId="0" applyAlignment="1" applyBorder="1" applyFont="1" applyNumberFormat="1">
      <alignment horizontal="center" readingOrder="0" vertical="bottom"/>
    </xf>
    <xf borderId="5" fillId="7" fontId="2" numFmtId="166" xfId="0" applyAlignment="1" applyBorder="1" applyFont="1" applyNumberFormat="1">
      <alignment vertical="bottom"/>
    </xf>
    <xf borderId="5" fillId="7" fontId="2" numFmtId="3" xfId="0" applyAlignment="1" applyBorder="1" applyFont="1" applyNumberFormat="1">
      <alignment horizontal="center" vertical="bottom"/>
    </xf>
    <xf borderId="4" fillId="7" fontId="2" numFmtId="0" xfId="0" applyAlignment="1" applyBorder="1" applyFont="1">
      <alignment horizontal="center" shrinkToFit="0" vertical="bottom" wrapText="0"/>
    </xf>
    <xf borderId="5" fillId="0" fontId="6" numFmtId="166" xfId="0" applyAlignment="1" applyBorder="1" applyFont="1" applyNumberFormat="1">
      <alignment horizontal="right" vertical="bottom"/>
    </xf>
    <xf borderId="5" fillId="10" fontId="21" numFmtId="172" xfId="0" applyAlignment="1" applyBorder="1" applyFont="1" applyNumberFormat="1">
      <alignment horizontal="center" readingOrder="0" vertical="bottom"/>
    </xf>
    <xf borderId="5" fillId="10" fontId="21" numFmtId="179" xfId="0" applyAlignment="1" applyBorder="1" applyFont="1" applyNumberFormat="1">
      <alignment horizontal="center" readingOrder="0" vertical="bottom"/>
    </xf>
    <xf borderId="5" fillId="10" fontId="32" numFmtId="172" xfId="0" applyAlignment="1" applyBorder="1" applyFont="1" applyNumberFormat="1">
      <alignment horizontal="center" readingOrder="0" vertical="bottom"/>
    </xf>
    <xf borderId="5" fillId="10" fontId="23" numFmtId="166" xfId="0" applyAlignment="1" applyBorder="1" applyFont="1" applyNumberFormat="1">
      <alignment horizontal="center" vertical="bottom"/>
    </xf>
    <xf borderId="5" fillId="10" fontId="2" numFmtId="166" xfId="0" applyAlignment="1" applyBorder="1" applyFont="1" applyNumberFormat="1">
      <alignment readingOrder="0" vertical="bottom"/>
    </xf>
    <xf borderId="5" fillId="10" fontId="32" numFmtId="180" xfId="0" applyAlignment="1" applyBorder="1" applyFont="1" applyNumberFormat="1">
      <alignment horizontal="center" readingOrder="0" vertical="bottom"/>
    </xf>
    <xf borderId="5" fillId="10" fontId="21" numFmtId="180" xfId="0" applyAlignment="1" applyBorder="1" applyFont="1" applyNumberFormat="1">
      <alignment horizontal="center" readingOrder="0" vertical="bottom"/>
    </xf>
    <xf borderId="5" fillId="10" fontId="21" numFmtId="180" xfId="0" applyAlignment="1" applyBorder="1" applyFont="1" applyNumberFormat="1">
      <alignment horizontal="center" readingOrder="0" vertical="bottom"/>
    </xf>
    <xf borderId="5" fillId="10" fontId="32" numFmtId="180" xfId="0" applyAlignment="1" applyBorder="1" applyFont="1" applyNumberFormat="1">
      <alignment horizontal="center" readingOrder="0" vertical="bottom"/>
    </xf>
    <xf borderId="5" fillId="10" fontId="32" numFmtId="180" xfId="0" applyAlignment="1" applyBorder="1" applyFont="1" applyNumberFormat="1">
      <alignment horizontal="center" vertical="bottom"/>
    </xf>
    <xf borderId="5" fillId="10" fontId="28" numFmtId="172" xfId="0" applyAlignment="1" applyBorder="1" applyFont="1" applyNumberFormat="1">
      <alignment horizontal="center" readingOrder="0" vertical="bottom"/>
    </xf>
    <xf borderId="5" fillId="10" fontId="2" numFmtId="166" xfId="0" applyAlignment="1" applyBorder="1" applyFont="1" applyNumberFormat="1">
      <alignment horizontal="center" vertical="bottom"/>
    </xf>
    <xf borderId="5" fillId="10" fontId="28" numFmtId="166" xfId="0" applyAlignment="1" applyBorder="1" applyFont="1" applyNumberFormat="1">
      <alignment horizontal="center" readingOrder="0" vertical="bottom"/>
    </xf>
    <xf borderId="5" fillId="10" fontId="21" numFmtId="166" xfId="0" applyAlignment="1" applyBorder="1" applyFont="1" applyNumberFormat="1">
      <alignment vertical="bottom"/>
    </xf>
    <xf borderId="4" fillId="0" fontId="2" numFmtId="15" xfId="0" applyAlignment="1" applyBorder="1" applyFont="1" applyNumberFormat="1">
      <alignment vertical="bottom"/>
    </xf>
    <xf borderId="4" fillId="0" fontId="37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shrinkToFit="0" vertical="bottom" wrapText="0"/>
    </xf>
    <xf borderId="5" fillId="0" fontId="2" numFmtId="164" xfId="0" applyAlignment="1" applyBorder="1" applyFont="1" applyNumberFormat="1">
      <alignment horizontal="center" vertical="bottom"/>
    </xf>
    <xf borderId="5" fillId="10" fontId="2" numFmtId="3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5" fillId="10" fontId="21" numFmtId="166" xfId="0" applyAlignment="1" applyBorder="1" applyFont="1" applyNumberFormat="1">
      <alignment horizontal="right" vertical="bottom"/>
    </xf>
    <xf borderId="5" fillId="10" fontId="2" numFmtId="3" xfId="0" applyAlignment="1" applyBorder="1" applyFont="1" applyNumberFormat="1">
      <alignment readingOrder="0" vertical="bottom"/>
    </xf>
    <xf borderId="5" fillId="10" fontId="2" numFmtId="4" xfId="0" applyAlignment="1" applyBorder="1" applyFont="1" applyNumberFormat="1">
      <alignment vertical="bottom"/>
    </xf>
    <xf borderId="5" fillId="10" fontId="2" numFmtId="181" xfId="0" applyAlignment="1" applyBorder="1" applyFont="1" applyNumberFormat="1">
      <alignment vertical="bottom"/>
    </xf>
    <xf borderId="5" fillId="10" fontId="32" numFmtId="179" xfId="0" applyAlignment="1" applyBorder="1" applyFont="1" applyNumberFormat="1">
      <alignment horizontal="center" readingOrder="0" vertical="bottom"/>
    </xf>
    <xf borderId="5" fillId="10" fontId="2" numFmtId="4" xfId="0" applyAlignment="1" applyBorder="1" applyFont="1" applyNumberFormat="1">
      <alignment horizontal="center" vertical="bottom"/>
    </xf>
    <xf borderId="23" fillId="2" fontId="2" numFmtId="16" xfId="0" applyAlignment="1" applyBorder="1" applyFont="1" applyNumberFormat="1">
      <alignment vertical="bottom"/>
    </xf>
    <xf borderId="6" fillId="2" fontId="2" numFmtId="0" xfId="0" applyAlignment="1" applyBorder="1" applyFont="1">
      <alignment horizontal="left" vertical="bottom"/>
    </xf>
    <xf borderId="6" fillId="2" fontId="2" numFmtId="0" xfId="0" applyAlignment="1" applyBorder="1" applyFont="1">
      <alignment horizontal="center" vertical="bottom"/>
    </xf>
    <xf borderId="6" fillId="2" fontId="2" numFmtId="16" xfId="0" applyAlignment="1" applyBorder="1" applyFont="1" applyNumberFormat="1">
      <alignment horizontal="center" vertical="bottom"/>
    </xf>
    <xf borderId="24" fillId="2" fontId="2" numFmtId="0" xfId="0" applyAlignment="1" applyBorder="1" applyFont="1">
      <alignment vertical="bottom"/>
    </xf>
    <xf borderId="7" fillId="2" fontId="2" numFmtId="3" xfId="0" applyAlignment="1" applyBorder="1" applyFont="1" applyNumberFormat="1">
      <alignment readingOrder="0" vertical="bottom"/>
    </xf>
    <xf borderId="7" fillId="2" fontId="2" numFmtId="4" xfId="0" applyAlignment="1" applyBorder="1" applyFont="1" applyNumberFormat="1">
      <alignment vertical="bottom"/>
    </xf>
    <xf borderId="7" fillId="2" fontId="2" numFmtId="164" xfId="0" applyAlignment="1" applyBorder="1" applyFont="1" applyNumberFormat="1">
      <alignment vertical="bottom"/>
    </xf>
    <xf borderId="7" fillId="2" fontId="2" numFmtId="4" xfId="0" applyAlignment="1" applyBorder="1" applyFont="1" applyNumberFormat="1">
      <alignment horizontal="center" vertical="bottom"/>
    </xf>
    <xf borderId="7" fillId="2" fontId="2" numFmtId="166" xfId="0" applyAlignment="1" applyBorder="1" applyFont="1" applyNumberFormat="1">
      <alignment vertical="bottom"/>
    </xf>
    <xf borderId="7" fillId="2" fontId="21" numFmtId="166" xfId="0" applyAlignment="1" applyBorder="1" applyFont="1" applyNumberFormat="1">
      <alignment vertical="bottom"/>
    </xf>
    <xf borderId="20" fillId="2" fontId="2" numFmtId="0" xfId="0" applyAlignment="1" applyBorder="1" applyFont="1">
      <alignment vertical="bottom"/>
    </xf>
    <xf borderId="19" fillId="2" fontId="2" numFmtId="0" xfId="0" applyAlignment="1" applyBorder="1" applyFont="1">
      <alignment vertical="bottom"/>
    </xf>
    <xf borderId="19" fillId="2" fontId="2" numFmtId="0" xfId="0" applyAlignment="1" applyBorder="1" applyFont="1">
      <alignment horizontal="left" vertical="bottom"/>
    </xf>
    <xf borderId="19" fillId="2" fontId="2" numFmtId="0" xfId="0" applyAlignment="1" applyBorder="1" applyFont="1">
      <alignment horizontal="center" vertical="bottom"/>
    </xf>
    <xf borderId="17" fillId="2" fontId="2" numFmtId="3" xfId="0" applyAlignment="1" applyBorder="1" applyFont="1" applyNumberFormat="1">
      <alignment horizontal="right" readingOrder="0" vertical="bottom"/>
    </xf>
    <xf borderId="17" fillId="2" fontId="2" numFmtId="4" xfId="0" applyAlignment="1" applyBorder="1" applyFont="1" applyNumberFormat="1">
      <alignment vertical="bottom"/>
    </xf>
    <xf borderId="17" fillId="2" fontId="2" numFmtId="164" xfId="0" applyAlignment="1" applyBorder="1" applyFont="1" applyNumberFormat="1">
      <alignment vertical="bottom"/>
    </xf>
    <xf borderId="17" fillId="2" fontId="2" numFmtId="4" xfId="0" applyAlignment="1" applyBorder="1" applyFont="1" applyNumberFormat="1">
      <alignment horizontal="center" vertical="bottom"/>
    </xf>
    <xf borderId="17" fillId="2" fontId="2" numFmtId="176" xfId="0" applyAlignment="1" applyBorder="1" applyFont="1" applyNumberFormat="1">
      <alignment vertical="bottom"/>
    </xf>
    <xf borderId="17" fillId="2" fontId="2" numFmtId="176" xfId="0" applyAlignment="1" applyBorder="1" applyFont="1" applyNumberFormat="1">
      <alignment horizontal="right" vertical="bottom"/>
    </xf>
    <xf borderId="17" fillId="2" fontId="21" numFmtId="176" xfId="0" applyAlignment="1" applyBorder="1" applyFont="1" applyNumberFormat="1">
      <alignment horizontal="right" vertical="bottom"/>
    </xf>
    <xf borderId="0" fillId="0" fontId="2" numFmtId="0" xfId="0" applyAlignment="1" applyFont="1">
      <alignment horizontal="left"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vertical="bottom"/>
    </xf>
    <xf borderId="0" fillId="0" fontId="2" numFmtId="4" xfId="0" applyAlignment="1" applyFont="1" applyNumberFormat="1">
      <alignment horizontal="center" vertical="bottom"/>
    </xf>
    <xf borderId="0" fillId="0" fontId="2" numFmtId="176" xfId="0" applyAlignment="1" applyFont="1" applyNumberFormat="1">
      <alignment vertical="bottom"/>
    </xf>
    <xf borderId="0" fillId="0" fontId="21" numFmtId="176" xfId="0" applyAlignment="1" applyFont="1" applyNumberFormat="1">
      <alignment vertical="bottom"/>
    </xf>
    <xf borderId="23" fillId="11" fontId="2" numFmtId="0" xfId="0" applyAlignment="1" applyBorder="1" applyFill="1" applyFont="1">
      <alignment vertical="bottom"/>
    </xf>
    <xf borderId="24" fillId="11" fontId="2" numFmtId="166" xfId="0" applyAlignment="1" applyBorder="1" applyFont="1" applyNumberFormat="1">
      <alignment horizontal="right" vertical="bottom"/>
    </xf>
    <xf borderId="0" fillId="0" fontId="21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1" fillId="2" fontId="2" numFmtId="166" xfId="0" applyAlignment="1" applyBorder="1" applyFont="1" applyNumberFormat="1">
      <alignment horizontal="right" vertical="bottom"/>
    </xf>
    <xf borderId="25" fillId="11" fontId="2" numFmtId="0" xfId="0" applyAlignment="1" applyBorder="1" applyFont="1">
      <alignment readingOrder="0" vertical="bottom"/>
    </xf>
    <xf borderId="26" fillId="11" fontId="2" numFmtId="166" xfId="0" applyAlignment="1" applyBorder="1" applyFont="1" applyNumberFormat="1">
      <alignment horizontal="right" readingOrder="0" vertical="bottom"/>
    </xf>
    <xf borderId="0" fillId="0" fontId="21" numFmtId="176" xfId="0" applyAlignment="1" applyFont="1" applyNumberFormat="1">
      <alignment horizontal="right" vertical="bottom"/>
    </xf>
    <xf borderId="0" fillId="0" fontId="2" numFmtId="176" xfId="0" applyAlignment="1" applyFont="1" applyNumberFormat="1">
      <alignment horizontal="right" vertical="bottom"/>
    </xf>
    <xf borderId="18" fillId="11" fontId="2" numFmtId="166" xfId="0" applyAlignment="1" applyBorder="1" applyFont="1" applyNumberFormat="1">
      <alignment horizontal="right" vertical="bottom"/>
    </xf>
    <xf borderId="0" fillId="0" fontId="21" numFmtId="166" xfId="0" applyAlignment="1" applyFont="1" applyNumberFormat="1">
      <alignment horizontal="right" vertical="bottom"/>
    </xf>
    <xf borderId="20" fillId="11" fontId="2" numFmtId="0" xfId="0" applyAlignment="1" applyBorder="1" applyFont="1">
      <alignment vertical="bottom"/>
    </xf>
    <xf borderId="27" fillId="0" fontId="2" numFmtId="166" xfId="0" applyAlignment="1" applyBorder="1" applyFont="1" applyNumberFormat="1">
      <alignment horizontal="right" vertical="bottom"/>
    </xf>
    <xf borderId="28" fillId="7" fontId="2" numFmtId="166" xfId="0" applyAlignment="1" applyBorder="1" applyFont="1" applyNumberFormat="1">
      <alignment horizontal="right" vertical="bottom"/>
    </xf>
    <xf borderId="0" fillId="0" fontId="21" numFmtId="166" xfId="0" applyAlignment="1" applyFont="1" applyNumberFormat="1">
      <alignment vertical="bottom"/>
    </xf>
    <xf borderId="28" fillId="7" fontId="2" numFmtId="166" xfId="0" applyAlignment="1" applyBorder="1" applyFont="1" applyNumberFormat="1">
      <alignment vertical="bottom"/>
    </xf>
    <xf borderId="0" fillId="0" fontId="21" numFmtId="0" xfId="0" applyAlignment="1" applyFont="1">
      <alignment vertical="bottom"/>
    </xf>
    <xf borderId="1" fillId="7" fontId="2" numFmtId="176" xfId="0" applyAlignment="1" applyBorder="1" applyFont="1" applyNumberFormat="1">
      <alignment vertical="bottom"/>
    </xf>
    <xf borderId="14" fillId="0" fontId="2" numFmtId="4" xfId="0" applyAlignment="1" applyBorder="1" applyFont="1" applyNumberFormat="1">
      <alignment vertical="bottom"/>
    </xf>
    <xf borderId="14" fillId="0" fontId="2" numFmtId="164" xfId="0" applyAlignment="1" applyBorder="1" applyFont="1" applyNumberFormat="1">
      <alignment vertical="bottom"/>
    </xf>
    <xf borderId="14" fillId="0" fontId="2" numFmtId="4" xfId="0" applyAlignment="1" applyBorder="1" applyFont="1" applyNumberFormat="1">
      <alignment horizontal="center" vertical="bottom"/>
    </xf>
    <xf borderId="1" fillId="7" fontId="21" numFmtId="176" xfId="0" applyAlignment="1" applyBorder="1" applyFont="1" applyNumberFormat="1">
      <alignment vertical="bottom"/>
    </xf>
    <xf borderId="28" fillId="7" fontId="2" numFmtId="176" xfId="0" applyAlignment="1" applyBorder="1" applyFont="1" applyNumberFormat="1">
      <alignment horizontal="right" vertical="bottom"/>
    </xf>
    <xf borderId="28" fillId="7" fontId="21" numFmtId="176" xfId="0" applyAlignment="1" applyBorder="1" applyFont="1" applyNumberFormat="1">
      <alignment horizontal="right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15" xfId="0" applyFont="1" applyNumberFormat="1"/>
    <xf borderId="0" fillId="0" fontId="2" numFmtId="15" xfId="0" applyAlignment="1" applyFont="1" applyNumberFormat="1">
      <alignment horizontal="left"/>
    </xf>
    <xf borderId="0" fillId="0" fontId="38" numFmtId="15" xfId="0" applyAlignment="1" applyFont="1" applyNumberFormat="1">
      <alignment horizontal="center"/>
    </xf>
    <xf borderId="0" fillId="0" fontId="2" numFmtId="15" xfId="0" applyAlignment="1" applyFont="1" applyNumberFormat="1">
      <alignment horizontal="center"/>
    </xf>
    <xf borderId="0" fillId="0" fontId="2" numFmtId="166" xfId="0" applyFont="1" applyNumberForma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4" xfId="0" applyFont="1" applyNumberFormat="1"/>
    <xf borderId="0" fillId="0" fontId="3" numFmtId="4" xfId="0" applyAlignment="1" applyFont="1" applyNumberFormat="1">
      <alignment horizontal="center"/>
    </xf>
    <xf borderId="0" fillId="0" fontId="39" numFmtId="0" xfId="0" applyFont="1"/>
    <xf borderId="0" fillId="0" fontId="3" numFmtId="4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1" numFmtId="4" xfId="0" applyFont="1" applyNumberFormat="1"/>
    <xf borderId="0" fillId="0" fontId="3" numFmtId="10" xfId="0" applyAlignment="1" applyFont="1" applyNumberFormat="1">
      <alignment readingOrder="0"/>
    </xf>
    <xf borderId="1" fillId="0" fontId="40" numFmtId="0" xfId="0" applyAlignment="1" applyBorder="1" applyFont="1">
      <alignment horizontal="center" vertical="bottom"/>
    </xf>
    <xf borderId="15" fillId="0" fontId="40" numFmtId="0" xfId="0" applyAlignment="1" applyBorder="1" applyFont="1">
      <alignment horizontal="center" vertical="bottom"/>
    </xf>
    <xf borderId="5" fillId="0" fontId="41" numFmtId="0" xfId="0" applyAlignment="1" applyBorder="1" applyFont="1">
      <alignment vertical="bottom"/>
    </xf>
    <xf borderId="4" fillId="0" fontId="42" numFmtId="0" xfId="0" applyAlignment="1" applyBorder="1" applyFont="1">
      <alignment vertical="bottom"/>
    </xf>
    <xf borderId="5" fillId="0" fontId="43" numFmtId="0" xfId="0" applyAlignment="1" applyBorder="1" applyFont="1">
      <alignment horizontal="center" vertical="bottom"/>
    </xf>
    <xf borderId="5" fillId="0" fontId="43" numFmtId="0" xfId="0" applyAlignment="1" applyBorder="1" applyFont="1">
      <alignment vertical="bottom"/>
    </xf>
    <xf borderId="4" fillId="0" fontId="43" numFmtId="176" xfId="0" applyAlignment="1" applyBorder="1" applyFont="1" applyNumberFormat="1">
      <alignment horizontal="right" vertical="bottom"/>
    </xf>
    <xf borderId="5" fillId="0" fontId="41" numFmtId="176" xfId="0" applyAlignment="1" applyBorder="1" applyFont="1" applyNumberFormat="1">
      <alignment vertical="bottom"/>
    </xf>
    <xf borderId="0" fillId="0" fontId="41" numFmtId="176" xfId="0" applyAlignment="1" applyFont="1" applyNumberFormat="1">
      <alignment vertical="bottom"/>
    </xf>
    <xf borderId="5" fillId="0" fontId="40" numFmtId="176" xfId="0" applyAlignment="1" applyBorder="1" applyFont="1" applyNumberFormat="1">
      <alignment horizontal="right" vertical="bottom"/>
    </xf>
    <xf borderId="5" fillId="0" fontId="44" numFmtId="0" xfId="0" applyAlignment="1" applyBorder="1" applyFont="1">
      <alignment horizontal="center" vertical="bottom"/>
    </xf>
    <xf borderId="5" fillId="0" fontId="44" numFmtId="0" xfId="0" applyAlignment="1" applyBorder="1" applyFont="1">
      <alignment vertical="bottom"/>
    </xf>
    <xf borderId="0" fillId="0" fontId="40" numFmtId="176" xfId="0" applyAlignment="1" applyFont="1" applyNumberFormat="1">
      <alignment horizontal="right" vertical="bottom"/>
    </xf>
    <xf borderId="5" fillId="0" fontId="44" numFmtId="176" xfId="0" applyAlignment="1" applyBorder="1" applyFont="1" applyNumberFormat="1">
      <alignment shrinkToFit="0" vertical="bottom" wrapText="0"/>
    </xf>
    <xf borderId="4" fillId="0" fontId="41" numFmtId="0" xfId="0" applyAlignment="1" applyBorder="1" applyFont="1">
      <alignment vertical="bottom"/>
    </xf>
    <xf borderId="29" fillId="0" fontId="41" numFmtId="0" xfId="0" applyAlignment="1" applyBorder="1" applyFont="1">
      <alignment vertical="bottom"/>
    </xf>
    <xf borderId="29" fillId="0" fontId="41" numFmtId="176" xfId="0" applyAlignment="1" applyBorder="1" applyFont="1" applyNumberFormat="1">
      <alignment vertical="bottom"/>
    </xf>
    <xf borderId="13" fillId="0" fontId="41" numFmtId="0" xfId="0" applyAlignment="1" applyBorder="1" applyFont="1">
      <alignment vertical="bottom"/>
    </xf>
    <xf borderId="14" fillId="0" fontId="41" numFmtId="0" xfId="0" applyAlignment="1" applyBorder="1" applyFont="1">
      <alignment vertical="bottom"/>
    </xf>
    <xf borderId="1" fillId="0" fontId="40" numFmtId="176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sIB1UNxTut9qbJEvjUktTfcBJ4-rfFQ2/view?usp=drive_link" TargetMode="External"/><Relationship Id="rId194" Type="http://schemas.openxmlformats.org/officeDocument/2006/relationships/hyperlink" Target="https://drive.google.com/file/d/1Rl9qaYJCEVharEp_vKaLyokuyqq-5zi4/view?usp=drive_link" TargetMode="External"/><Relationship Id="rId193" Type="http://schemas.openxmlformats.org/officeDocument/2006/relationships/hyperlink" Target="https://drive.google.com/file/d/18bwtFn3cvl4giHo30ZoKcNoCDl3wlcp2/view?usp=drive_link" TargetMode="External"/><Relationship Id="rId192" Type="http://schemas.openxmlformats.org/officeDocument/2006/relationships/hyperlink" Target="https://drive.google.com/file/d/1YANXQTjFAl0BotdWZGzq2cs9w_wq-yJ3/view?usp=drive_link" TargetMode="External"/><Relationship Id="rId191" Type="http://schemas.openxmlformats.org/officeDocument/2006/relationships/hyperlink" Target="https://drive.google.com/file/d/1z3-WLTR8wpeX8327-noi6zdShIsBB1fr/view?usp=drive_link" TargetMode="External"/><Relationship Id="rId187" Type="http://schemas.openxmlformats.org/officeDocument/2006/relationships/hyperlink" Target="https://drive.google.com/file/d/16jE_T8HyllmY6qDtmOwbzfReVxgiVwMo/view?usp=drive_link" TargetMode="External"/><Relationship Id="rId186" Type="http://schemas.openxmlformats.org/officeDocument/2006/relationships/hyperlink" Target="https://drive.google.com/file/d/16-r0rGBkgfDD0WBL-DMse2H5WGmtKdun/view?usp=drive_link" TargetMode="External"/><Relationship Id="rId185" Type="http://schemas.openxmlformats.org/officeDocument/2006/relationships/hyperlink" Target="https://drive.google.com/file/d/1njwbkx6NoibCJoXTzWoP-pUe1XJ4wsXP/view?usp=drive_link" TargetMode="External"/><Relationship Id="rId184" Type="http://schemas.openxmlformats.org/officeDocument/2006/relationships/hyperlink" Target="https://drive.google.com/file/d/19zPICBVC0jMR2ZCme11JDHDGdK6L3xCL/view?usp=drive_link" TargetMode="External"/><Relationship Id="rId189" Type="http://schemas.openxmlformats.org/officeDocument/2006/relationships/hyperlink" Target="https://drive.google.com/file/d/16PdGK8vhw8fTxS9M91zBrRDaTk6Mj9jC/view?usp=drive_link" TargetMode="External"/><Relationship Id="rId188" Type="http://schemas.openxmlformats.org/officeDocument/2006/relationships/hyperlink" Target="https://drive.google.com/file/d/1W5AB4OX-Loiyqoj47A2plmrKtZr7zryV/view?usp=drive_link" TargetMode="External"/><Relationship Id="rId183" Type="http://schemas.openxmlformats.org/officeDocument/2006/relationships/hyperlink" Target="https://drive.google.com/file/d/185qFJz2pih89XQ7cvzqe4ddEXnMtYhFj/view?usp=drive_link" TargetMode="External"/><Relationship Id="rId182" Type="http://schemas.openxmlformats.org/officeDocument/2006/relationships/hyperlink" Target="https://drive.google.com/file/d/1UEY-d7QRRSiPLxj-jUVYLCUJxcPK19E9/view?usp=drive_link" TargetMode="External"/><Relationship Id="rId181" Type="http://schemas.openxmlformats.org/officeDocument/2006/relationships/hyperlink" Target="https://drive.google.com/file/d/1BtnzoaYnAQHIAPFHsfg1cLbI9hsAbZ70/view?usp=drive_link" TargetMode="External"/><Relationship Id="rId180" Type="http://schemas.openxmlformats.org/officeDocument/2006/relationships/hyperlink" Target="https://drive.google.com/file/d/1lLn9SYJMTqcPQ51fOX15L8UT4LXxcf5A/view?usp=drive_link" TargetMode="External"/><Relationship Id="rId176" Type="http://schemas.openxmlformats.org/officeDocument/2006/relationships/hyperlink" Target="https://drive.google.com/file/d/1itM6mulXTZeaHAH0sj62nih-q8qtlkTY/view?usp=drive_link" TargetMode="External"/><Relationship Id="rId297" Type="http://schemas.openxmlformats.org/officeDocument/2006/relationships/hyperlink" Target="https://drive.google.com/file/d/1wwrqwH0S48k1oBad--A4_7zn8zuFKH-x/view?usp=drive_link" TargetMode="External"/><Relationship Id="rId175" Type="http://schemas.openxmlformats.org/officeDocument/2006/relationships/hyperlink" Target="https://drive.google.com/file/d/1E5KetbQ-UhPBE4C6s5p1ZMIn0Ct6W_XC/view?usp=drive_link" TargetMode="External"/><Relationship Id="rId296" Type="http://schemas.openxmlformats.org/officeDocument/2006/relationships/hyperlink" Target="https://drive.google.com/file/d/1RJcq8jhwvC7Vd0eIBG1eL35CL8YQ_Dpq/view?usp=drive_link" TargetMode="External"/><Relationship Id="rId174" Type="http://schemas.openxmlformats.org/officeDocument/2006/relationships/hyperlink" Target="https://drive.google.com/file/d/1EETeKOb446VdmaB_pBHXqjo-AuSjA3Ch/view?usp=drive_link" TargetMode="External"/><Relationship Id="rId295" Type="http://schemas.openxmlformats.org/officeDocument/2006/relationships/hyperlink" Target="https://drive.google.com/file/d/1wwrqwH0S48k1oBad--A4_7zn8zuFKH-x/view?usp=drive_link" TargetMode="External"/><Relationship Id="rId173" Type="http://schemas.openxmlformats.org/officeDocument/2006/relationships/hyperlink" Target="https://drive.google.com/file/d/1E5KetbQ-UhPBE4C6s5p1ZMIn0Ct6W_XC/view?usp=drive_link" TargetMode="External"/><Relationship Id="rId294" Type="http://schemas.openxmlformats.org/officeDocument/2006/relationships/hyperlink" Target="https://drive.google.com/file/d/1qcvv_GAxLLV5abDWYRLagceRru5ambJs/view?usp=drive_link" TargetMode="External"/><Relationship Id="rId179" Type="http://schemas.openxmlformats.org/officeDocument/2006/relationships/hyperlink" Target="https://drive.google.com/file/d/1E5KetbQ-UhPBE4C6s5p1ZMIn0Ct6W_XC/view?usp=drive_link" TargetMode="External"/><Relationship Id="rId178" Type="http://schemas.openxmlformats.org/officeDocument/2006/relationships/hyperlink" Target="https://drive.google.com/file/d/1XAgYi5GTX_JzBdj18CJr982NMozLpSRK/view?usp=drive_link" TargetMode="External"/><Relationship Id="rId299" Type="http://schemas.openxmlformats.org/officeDocument/2006/relationships/hyperlink" Target="https://drive.google.com/file/d/1yokOFlQPwQRRxrGGqqACBJ6L6jMBt-m6/view?usp=drive_link" TargetMode="External"/><Relationship Id="rId177" Type="http://schemas.openxmlformats.org/officeDocument/2006/relationships/hyperlink" Target="https://drive.google.com/file/d/1E5KetbQ-UhPBE4C6s5p1ZMIn0Ct6W_XC/view?usp=drive_link" TargetMode="External"/><Relationship Id="rId298" Type="http://schemas.openxmlformats.org/officeDocument/2006/relationships/hyperlink" Target="https://drive.google.com/file/d/150un3bqoPaLDEg1PieaEd1w_aXHNDs_1/view?usp=drive_link" TargetMode="External"/><Relationship Id="rId198" Type="http://schemas.openxmlformats.org/officeDocument/2006/relationships/hyperlink" Target="https://drive.google.com/file/d/1CERun3araXXzHjoHsJ8hOhnPkbB_seFN/view?usp=drive_link" TargetMode="External"/><Relationship Id="rId197" Type="http://schemas.openxmlformats.org/officeDocument/2006/relationships/hyperlink" Target="https://drive.google.com/file/d/1IzoJqa35-SXPMobJXCts9HJqzxB0Ytsx/view?usp=drive_link" TargetMode="External"/><Relationship Id="rId196" Type="http://schemas.openxmlformats.org/officeDocument/2006/relationships/hyperlink" Target="https://drive.google.com/file/d/1ezDa8ZxkyKObfyP9xIGV_ZzPwKJLwSBJ/view?usp=drive_link" TargetMode="External"/><Relationship Id="rId195" Type="http://schemas.openxmlformats.org/officeDocument/2006/relationships/hyperlink" Target="https://drive.google.com/file/d/1DYoD4WYJB-9ysvTmL9o0DXbssds6_w1Y/view?usp=drive_link" TargetMode="External"/><Relationship Id="rId199" Type="http://schemas.openxmlformats.org/officeDocument/2006/relationships/hyperlink" Target="https://drive.google.com/file/d/1paexx4QERZm_-5wn1op1_dEfVKb2E224/view?usp=drive_link" TargetMode="External"/><Relationship Id="rId150" Type="http://schemas.openxmlformats.org/officeDocument/2006/relationships/hyperlink" Target="https://drive.google.com/file/d/1_mVpCWtll4ZqhBOD48UIGbJFHwgsFKlZ/view?usp=drive_link" TargetMode="External"/><Relationship Id="rId271" Type="http://schemas.openxmlformats.org/officeDocument/2006/relationships/hyperlink" Target="https://drive.google.com/file/d/1GSlBGwSdkyzO-YhKIh3k3yPxr24yak6J/view?usp=drive_link" TargetMode="External"/><Relationship Id="rId392" Type="http://schemas.openxmlformats.org/officeDocument/2006/relationships/hyperlink" Target="https://drive.google.com/file/d/1DGROzGLN1LXj5vMUw7JjMRAHd8vVzLDb/view?usp=drive_link" TargetMode="External"/><Relationship Id="rId270" Type="http://schemas.openxmlformats.org/officeDocument/2006/relationships/hyperlink" Target="https://drive.google.com/file/d/1GgUTyIt1JWdN0fzJZcTCZ3PtJHNdpKMk/view?usp=drive_link" TargetMode="External"/><Relationship Id="rId391" Type="http://schemas.openxmlformats.org/officeDocument/2006/relationships/hyperlink" Target="https://drive.google.com/file/d/1pnVoC7Hvp6eN6UJVMpdOkwVKg23TTiqN/view?usp=drive_link" TargetMode="External"/><Relationship Id="rId390" Type="http://schemas.openxmlformats.org/officeDocument/2006/relationships/hyperlink" Target="https://drive.google.com/file/d/1iJ5nrSZL4W1fnihMFXHvhqrzL2Ygze0Q/view?usp=drive_link" TargetMode="External"/><Relationship Id="rId1" Type="http://schemas.openxmlformats.org/officeDocument/2006/relationships/hyperlink" Target="https://drive.google.com/file/d/12wPyYUvQnEdQpuOUewE0D14ehtZDFAGy/view?usp=sharing" TargetMode="External"/><Relationship Id="rId2" Type="http://schemas.openxmlformats.org/officeDocument/2006/relationships/hyperlink" Target="https://drive.google.com/file/d/1mG5k4VYuL81Sd73bhxbQUh_DqLKygciX/view?usp=drive_link" TargetMode="External"/><Relationship Id="rId3" Type="http://schemas.openxmlformats.org/officeDocument/2006/relationships/hyperlink" Target="https://drive.google.com/file/d/1bAk-6vZN6zqBNZiQvRywtU1qUuasN6B4/view?usp=drive_link" TargetMode="External"/><Relationship Id="rId149" Type="http://schemas.openxmlformats.org/officeDocument/2006/relationships/hyperlink" Target="https://drive.google.com/file/d/1P6s1nRjJ0LeHrRpBxg1QpcUomc7r5duM/view?usp=drive_link" TargetMode="External"/><Relationship Id="rId4" Type="http://schemas.openxmlformats.org/officeDocument/2006/relationships/hyperlink" Target="https://drive.google.com/file/d/1VXS-4rkTszMr-cstBaOmKa17-e9oNEBO/view?usp=drive_link" TargetMode="External"/><Relationship Id="rId148" Type="http://schemas.openxmlformats.org/officeDocument/2006/relationships/hyperlink" Target="https://drive.google.com/file/d/1lBLv6JfRQLMvkssO4qsPWAKoswqBcBbY/view?usp=drive_link" TargetMode="External"/><Relationship Id="rId269" Type="http://schemas.openxmlformats.org/officeDocument/2006/relationships/hyperlink" Target="https://drive.google.com/file/d/1892BquITuoHZsRDcHFeS0D_mqSjTdfmH/view?usp=drive_link" TargetMode="External"/><Relationship Id="rId9" Type="http://schemas.openxmlformats.org/officeDocument/2006/relationships/hyperlink" Target="https://drive.google.com/file/d/1DmvtXWqylNHOeNIP73qVY_J8vgZVPmZn/view?usp=drive_link" TargetMode="External"/><Relationship Id="rId143" Type="http://schemas.openxmlformats.org/officeDocument/2006/relationships/hyperlink" Target="https://drive.google.com/file/d/1RDD_9ixmpov9wXE57QGYoblgwmsRUaGk/view?usp=drive_link" TargetMode="External"/><Relationship Id="rId264" Type="http://schemas.openxmlformats.org/officeDocument/2006/relationships/hyperlink" Target="https://drive.google.com/file/d/1ATWoJW4W3BOHWMJytDnbZm75bhS9mxH1/view?usp=drive_link" TargetMode="External"/><Relationship Id="rId385" Type="http://schemas.openxmlformats.org/officeDocument/2006/relationships/hyperlink" Target="https://drive.google.com/file/d/1eBIESOMT0Mi-7sg1FDZRXZZcK2Ow265L/view?usp=drive_link" TargetMode="External"/><Relationship Id="rId142" Type="http://schemas.openxmlformats.org/officeDocument/2006/relationships/hyperlink" Target="https://drive.google.com/file/d/1YANXQTjFAl0BotdWZGzq2cs9w_wq-yJ3/view?usp=drive_link" TargetMode="External"/><Relationship Id="rId263" Type="http://schemas.openxmlformats.org/officeDocument/2006/relationships/hyperlink" Target="https://drive.google.com/file/d/1VfFct1gd6H58Los-G2gu_3cs12Msk9aT/view?usp=drive_link" TargetMode="External"/><Relationship Id="rId384" Type="http://schemas.openxmlformats.org/officeDocument/2006/relationships/hyperlink" Target="https://drive.google.com/file/d/1UML4D3mBUfBAvcRDnsrxypd-hAgx2BjP/view?usp=drive_link" TargetMode="External"/><Relationship Id="rId141" Type="http://schemas.openxmlformats.org/officeDocument/2006/relationships/hyperlink" Target="https://drive.google.com/file/d/1NGjuu9xjdNwVZOIk_-RgAYNPN6TDBEGK/view?usp=drive_link" TargetMode="External"/><Relationship Id="rId262" Type="http://schemas.openxmlformats.org/officeDocument/2006/relationships/hyperlink" Target="https://drive.google.com/file/d/1Kq7JtyxFXKgIbbJ-ZLrBNIyB_LMCGtlA/view?usp=drive_link" TargetMode="External"/><Relationship Id="rId383" Type="http://schemas.openxmlformats.org/officeDocument/2006/relationships/hyperlink" Target="https://drive.google.com/file/d/1PzPWaWyqrc6adr94M4cnBqk4QkE8LU-Q/view?usp=drive_link" TargetMode="External"/><Relationship Id="rId140" Type="http://schemas.openxmlformats.org/officeDocument/2006/relationships/hyperlink" Target="https://drive.google.com/file/d/1YANXQTjFAl0BotdWZGzq2cs9w_wq-yJ3/view?usp=drive_link" TargetMode="External"/><Relationship Id="rId261" Type="http://schemas.openxmlformats.org/officeDocument/2006/relationships/hyperlink" Target="https://drive.google.com/file/d/1gcxAKWaPKGKmDPl9DPTOCC0tPcFtdbPs/view?usp=drive_link" TargetMode="External"/><Relationship Id="rId382" Type="http://schemas.openxmlformats.org/officeDocument/2006/relationships/hyperlink" Target="https://drive.google.com/file/d/1hdiwhTAeKmHJo_JZvqNCRGBeTJ5b5-VO/view?usp=drive_link" TargetMode="External"/><Relationship Id="rId5" Type="http://schemas.openxmlformats.org/officeDocument/2006/relationships/hyperlink" Target="https://drive.google.com/file/d/17RmHovk8f5wKuPGuP6GP4NEEQaEFWRXX/view?usp=drive_link" TargetMode="External"/><Relationship Id="rId147" Type="http://schemas.openxmlformats.org/officeDocument/2006/relationships/hyperlink" Target="https://drive.google.com/file/d/16MLIrTMt24MmA29Icu3QR7L4PfqkH1B2/view?usp=drive_link" TargetMode="External"/><Relationship Id="rId268" Type="http://schemas.openxmlformats.org/officeDocument/2006/relationships/hyperlink" Target="https://drive.google.com/file/d/1GSlBGwSdkyzO-YhKIh3k3yPxr24yak6J/view?usp=drive_link" TargetMode="External"/><Relationship Id="rId389" Type="http://schemas.openxmlformats.org/officeDocument/2006/relationships/hyperlink" Target="https://drive.google.com/file/d/1JT6fvmHq9Dd41WPT5Nx-DUZyzZf9-G22/view?usp=drive_link" TargetMode="External"/><Relationship Id="rId6" Type="http://schemas.openxmlformats.org/officeDocument/2006/relationships/hyperlink" Target="https://drive.google.com/file/d/1UsZOjIsESnV7W2MvwNLEQDroUFK3FnT3/view?usp=drive_link" TargetMode="External"/><Relationship Id="rId146" Type="http://schemas.openxmlformats.org/officeDocument/2006/relationships/hyperlink" Target="https://drive.google.com/file/d/1cVQCKyKQm9aWQcRl4gIqW2CA71I59ZaE/view?usp=drive_link" TargetMode="External"/><Relationship Id="rId267" Type="http://schemas.openxmlformats.org/officeDocument/2006/relationships/hyperlink" Target="https://drive.google.com/file/d/1lel6C_nK4WKiMQfUte-Ym_y80QuF-9Jb/view?usp=drive_link" TargetMode="External"/><Relationship Id="rId388" Type="http://schemas.openxmlformats.org/officeDocument/2006/relationships/hyperlink" Target="https://drive.google.com/file/d/17tbaRXZ82_T3GrfvsZ3tLTaN8huJhOQB/view?usp=drive_link" TargetMode="External"/><Relationship Id="rId7" Type="http://schemas.openxmlformats.org/officeDocument/2006/relationships/hyperlink" Target="https://drive.google.com/file/d/1S8FgmcFbdrmICLdXo3w9tuBrC-suSxKB/view?usp=drive_link" TargetMode="External"/><Relationship Id="rId145" Type="http://schemas.openxmlformats.org/officeDocument/2006/relationships/hyperlink" Target="https://drive.google.com/file/d/1YANXQTjFAl0BotdWZGzq2cs9w_wq-yJ3/view?usp=drive_link" TargetMode="External"/><Relationship Id="rId266" Type="http://schemas.openxmlformats.org/officeDocument/2006/relationships/hyperlink" Target="https://drive.google.com/file/d/1DmAos1RuJf7YCALstxw6FM8C4WEZFT5A/view?usp=drive_link" TargetMode="External"/><Relationship Id="rId387" Type="http://schemas.openxmlformats.org/officeDocument/2006/relationships/hyperlink" Target="https://drive.google.com/file/d/14EpcQyWEUHiJwNvowJ3sMO7qUoskbDF3/view?usp=drive_link" TargetMode="External"/><Relationship Id="rId8" Type="http://schemas.openxmlformats.org/officeDocument/2006/relationships/hyperlink" Target="https://drive.google.com/file/d/1DCvUZbF1WitzqfcrriTkwUg85Ammaako/view?usp=drive_link" TargetMode="External"/><Relationship Id="rId144" Type="http://schemas.openxmlformats.org/officeDocument/2006/relationships/hyperlink" Target="https://drive.google.com/file/d/1M-Np8Z5Y3-UDbKyMw5fv29AVOm3qQrye/view?usp=drive_link" TargetMode="External"/><Relationship Id="rId265" Type="http://schemas.openxmlformats.org/officeDocument/2006/relationships/hyperlink" Target="https://drive.google.com/file/d/1Kq7JtyxFXKgIbbJ-ZLrBNIyB_LMCGtlA/view?usp=drive_link" TargetMode="External"/><Relationship Id="rId386" Type="http://schemas.openxmlformats.org/officeDocument/2006/relationships/hyperlink" Target="https://drive.google.com/file/d/18iNaLHiL2_y_sQ9nPqxV_CNB4unmhUEU/view?usp=drive_link" TargetMode="External"/><Relationship Id="rId260" Type="http://schemas.openxmlformats.org/officeDocument/2006/relationships/hyperlink" Target="https://drive.google.com/file/d/1ceikKjzC2B9cmaUWzZ1qvAyTCVfHb9Ep/view?usp=drive_link" TargetMode="External"/><Relationship Id="rId381" Type="http://schemas.openxmlformats.org/officeDocument/2006/relationships/hyperlink" Target="https://drive.google.com/file/d/1FlMm8YatIjBi5IwQFbXmlEfrvUJlkCB_/view?usp=drive_link" TargetMode="External"/><Relationship Id="rId380" Type="http://schemas.openxmlformats.org/officeDocument/2006/relationships/hyperlink" Target="https://drive.google.com/file/d/1-NKSKsbtxyQvaemxxkOstH4C4mj3bCeU/view?usp=drive_link" TargetMode="External"/><Relationship Id="rId139" Type="http://schemas.openxmlformats.org/officeDocument/2006/relationships/hyperlink" Target="https://drive.google.com/file/d/17klrZ-7aNDKwXKGRnETnbsIPTfr0TbSK/view?usp=drive_link" TargetMode="External"/><Relationship Id="rId138" Type="http://schemas.openxmlformats.org/officeDocument/2006/relationships/hyperlink" Target="https://drive.google.com/file/d/16MLIrTMt24MmA29Icu3QR7L4PfqkH1B2/view?usp=drive_link" TargetMode="External"/><Relationship Id="rId259" Type="http://schemas.openxmlformats.org/officeDocument/2006/relationships/hyperlink" Target="https://drive.google.com/file/d/1sUGmYHQoj264uabzQ41oN5rxWSuH7swY/view?usp=drive_link" TargetMode="External"/><Relationship Id="rId137" Type="http://schemas.openxmlformats.org/officeDocument/2006/relationships/hyperlink" Target="https://drive.google.com/file/d/1tliDP740Jfh8nPWN9eIIu7MJ29otO7mO/view?usp=drive_link" TargetMode="External"/><Relationship Id="rId258" Type="http://schemas.openxmlformats.org/officeDocument/2006/relationships/hyperlink" Target="https://drive.google.com/file/d/1A5ksQ-FW9IzGcU2MqlmgfCynqTFush9w/view?usp=drive_link" TargetMode="External"/><Relationship Id="rId379" Type="http://schemas.openxmlformats.org/officeDocument/2006/relationships/hyperlink" Target="https://drive.google.com/file/d/1LXfTB2uJ7gRH-6Tm70FeVTz3YNC1PCF4/view?usp=drive_link" TargetMode="External"/><Relationship Id="rId132" Type="http://schemas.openxmlformats.org/officeDocument/2006/relationships/hyperlink" Target="https://drive.google.com/file/d/1SAnKWTI6mRumA-hrXfegpV33XUCjq_M5/view?usp=drive_link" TargetMode="External"/><Relationship Id="rId253" Type="http://schemas.openxmlformats.org/officeDocument/2006/relationships/hyperlink" Target="https://drive.google.com/file/d/1XEPHo9gBaGUNxRGdEOXaFx13xvbr_wXL/view?usp=drive_link" TargetMode="External"/><Relationship Id="rId374" Type="http://schemas.openxmlformats.org/officeDocument/2006/relationships/hyperlink" Target="https://drive.google.com/file/d/1OnFxd6-ZNpR4qysnaqJMueAdaAyR7DoR/view?usp=drive_link" TargetMode="External"/><Relationship Id="rId495" Type="http://schemas.openxmlformats.org/officeDocument/2006/relationships/hyperlink" Target="https://drive.google.com/file/d/1Nyx-Vc7XbG9ruarP-zwgX_p2Xj7pGsBs/view?usp=drive_link" TargetMode="External"/><Relationship Id="rId131" Type="http://schemas.openxmlformats.org/officeDocument/2006/relationships/hyperlink" Target="https://drive.google.com/file/d/16MLIrTMt24MmA29Icu3QR7L4PfqkH1B2/view?usp=drive_link" TargetMode="External"/><Relationship Id="rId252" Type="http://schemas.openxmlformats.org/officeDocument/2006/relationships/hyperlink" Target="https://drive.google.com/file/d/1yokOFlQPwQRRxrGGqqACBJ6L6jMBt-m6/view?usp=drive_link" TargetMode="External"/><Relationship Id="rId373" Type="http://schemas.openxmlformats.org/officeDocument/2006/relationships/hyperlink" Target="https://drive.google.com/file/d/1uJAVDeZstumnD93md40LltFTJkN1GDnO/view?usp=drive_link" TargetMode="External"/><Relationship Id="rId494" Type="http://schemas.openxmlformats.org/officeDocument/2006/relationships/hyperlink" Target="https://drive.google.com/file/d/1NUN_t3ObgQBmH8kElzHGCPzBQKK5mS7f/view?usp=drive_link" TargetMode="External"/><Relationship Id="rId130" Type="http://schemas.openxmlformats.org/officeDocument/2006/relationships/hyperlink" Target="https://drive.google.com/file/d/1jwnfgdTRcPHY-b4oGFtBe9Yfs5PpNRF4/view?usp=drive_link" TargetMode="External"/><Relationship Id="rId251" Type="http://schemas.openxmlformats.org/officeDocument/2006/relationships/hyperlink" Target="https://drive.google.com/file/d/15Rcx9UZE_lt_DuNvlfLkquQ17dOx0YPE/view?usp=drive_link" TargetMode="External"/><Relationship Id="rId372" Type="http://schemas.openxmlformats.org/officeDocument/2006/relationships/hyperlink" Target="https://drive.google.com/file/d/17QzUG9NX2XtkvNlfzUOrysYpKPHaqKVI/view?usp=drive_link" TargetMode="External"/><Relationship Id="rId493" Type="http://schemas.openxmlformats.org/officeDocument/2006/relationships/hyperlink" Target="https://drive.google.com/file/d/1ELRyOv85PHhj7qoGUFs6u96ihpijMgb5/view?usp=drive_link" TargetMode="External"/><Relationship Id="rId250" Type="http://schemas.openxmlformats.org/officeDocument/2006/relationships/hyperlink" Target="https://drive.google.com/file/d/1yokOFlQPwQRRxrGGqqACBJ6L6jMBt-m6/view?usp=drive_link" TargetMode="External"/><Relationship Id="rId371" Type="http://schemas.openxmlformats.org/officeDocument/2006/relationships/hyperlink" Target="https://drive.google.com/file/d/1OWN5Z0TKXkrg8--UOim_I_z60IAKsPZf/view?usp=drive_link" TargetMode="External"/><Relationship Id="rId492" Type="http://schemas.openxmlformats.org/officeDocument/2006/relationships/hyperlink" Target="https://drive.google.com/file/d/1NUN_t3ObgQBmH8kElzHGCPzBQKK5mS7f/view?usp=drive_link" TargetMode="External"/><Relationship Id="rId136" Type="http://schemas.openxmlformats.org/officeDocument/2006/relationships/hyperlink" Target="https://drive.google.com/file/d/16MLIrTMt24MmA29Icu3QR7L4PfqkH1B2/view?usp=drive_link" TargetMode="External"/><Relationship Id="rId257" Type="http://schemas.openxmlformats.org/officeDocument/2006/relationships/hyperlink" Target="https://drive.google.com/file/d/1K8slF3oyCGZBOGqwQUdf0_b34wpx_2A9/view?usp=drive_link" TargetMode="External"/><Relationship Id="rId378" Type="http://schemas.openxmlformats.org/officeDocument/2006/relationships/hyperlink" Target="https://drive.google.com/file/d/1B-TllYUqfwXP1hDuq2JM8C7TGqsl5vx2/view?usp=drive_link" TargetMode="External"/><Relationship Id="rId499" Type="http://schemas.openxmlformats.org/officeDocument/2006/relationships/hyperlink" Target="https://drive.google.com/file/d/1hCJCd8safuC09KZHX7132-tFLLLEcUbk/view?usp=drive_link" TargetMode="External"/><Relationship Id="rId135" Type="http://schemas.openxmlformats.org/officeDocument/2006/relationships/hyperlink" Target="https://drive.google.com/file/d/1BJjb4ku1s5uIsuerJGT2orIuC9u1ZUUB/view?usp=drive_link" TargetMode="External"/><Relationship Id="rId256" Type="http://schemas.openxmlformats.org/officeDocument/2006/relationships/hyperlink" Target="https://drive.google.com/file/d/1feHcq4n8EK2TYEsuWsylZ5RWbZWDn5rV/view?usp=drive_link" TargetMode="External"/><Relationship Id="rId377" Type="http://schemas.openxmlformats.org/officeDocument/2006/relationships/hyperlink" Target="https://drive.google.com/file/d/15Bfz_2f_7V721AKrBmC_jr3XFGFtNEG9/view?usp=drive_link" TargetMode="External"/><Relationship Id="rId498" Type="http://schemas.openxmlformats.org/officeDocument/2006/relationships/hyperlink" Target="https://drive.google.com/file/d/1cnzvKcfbA01yIOvqkQtMjV0Df9d8a2hi/view?usp=drive_link" TargetMode="External"/><Relationship Id="rId134" Type="http://schemas.openxmlformats.org/officeDocument/2006/relationships/hyperlink" Target="https://drive.google.com/file/d/16MLIrTMt24MmA29Icu3QR7L4PfqkH1B2/view?usp=drive_link" TargetMode="External"/><Relationship Id="rId255" Type="http://schemas.openxmlformats.org/officeDocument/2006/relationships/hyperlink" Target="https://drive.google.com/file/d/1PFUrD24_El0FVSmqEnZQHi2hxCcVSj_F/view?usp=drive_link" TargetMode="External"/><Relationship Id="rId376" Type="http://schemas.openxmlformats.org/officeDocument/2006/relationships/hyperlink" Target="https://drive.google.com/file/d/1WlVsLmlgJUNzj5v86RpmTqewZdYMMOZ2/view?usp=drive_link" TargetMode="External"/><Relationship Id="rId497" Type="http://schemas.openxmlformats.org/officeDocument/2006/relationships/hyperlink" Target="https://drive.google.com/file/d/1IT7FEKI8lYSHkin1_MfiNeenunrCVmuR/view?usp=drive_link" TargetMode="External"/><Relationship Id="rId133" Type="http://schemas.openxmlformats.org/officeDocument/2006/relationships/hyperlink" Target="https://drive.google.com/file/d/1bY4D7eNebnqd0hDQtK727E3nMcBs93vF/view?usp=drive_link" TargetMode="External"/><Relationship Id="rId254" Type="http://schemas.openxmlformats.org/officeDocument/2006/relationships/hyperlink" Target="https://drive.google.com/file/d/1MKVmp1g8MPZ-78AwHctCZocAMrMg6WZ8/view?usp=drive_link" TargetMode="External"/><Relationship Id="rId375" Type="http://schemas.openxmlformats.org/officeDocument/2006/relationships/hyperlink" Target="https://drive.google.com/file/d/19XQP25NV6dqcKFxffauuAw7cTJmX9RrR/view?usp=drive_link" TargetMode="External"/><Relationship Id="rId496" Type="http://schemas.openxmlformats.org/officeDocument/2006/relationships/hyperlink" Target="https://drive.google.com/file/d/1LRbAkM6yEs4izCsViOICWS2Lg0zbch-7/view?usp=drive_link" TargetMode="External"/><Relationship Id="rId172" Type="http://schemas.openxmlformats.org/officeDocument/2006/relationships/hyperlink" Target="https://drive.google.com/file/d/1UtVnMN8MRTBPN23GMJOCfgMiChAgsA2R/view?usp=drive_link" TargetMode="External"/><Relationship Id="rId293" Type="http://schemas.openxmlformats.org/officeDocument/2006/relationships/hyperlink" Target="https://drive.google.com/file/d/1wwrqwH0S48k1oBad--A4_7zn8zuFKH-x/view?usp=drive_link" TargetMode="External"/><Relationship Id="rId171" Type="http://schemas.openxmlformats.org/officeDocument/2006/relationships/hyperlink" Target="https://drive.google.com/file/d/1E5KetbQ-UhPBE4C6s5p1ZMIn0Ct6W_XC/view?usp=drive_link" TargetMode="External"/><Relationship Id="rId292" Type="http://schemas.openxmlformats.org/officeDocument/2006/relationships/hyperlink" Target="https://drive.google.com/file/d/1-efjb8aAPBYABIuisTS-JlgtpFWmFi2m/view?usp=drive_link" TargetMode="External"/><Relationship Id="rId170" Type="http://schemas.openxmlformats.org/officeDocument/2006/relationships/hyperlink" Target="https://drive.google.com/file/d/1zyB2oT5A2aJKd42RsOIHAAOWlrKyPaWy/view?usp=drive_link" TargetMode="External"/><Relationship Id="rId291" Type="http://schemas.openxmlformats.org/officeDocument/2006/relationships/hyperlink" Target="https://drive.google.com/file/d/1wwrqwH0S48k1oBad--A4_7zn8zuFKH-x/view?usp=drive_link" TargetMode="External"/><Relationship Id="rId290" Type="http://schemas.openxmlformats.org/officeDocument/2006/relationships/hyperlink" Target="https://drive.google.com/file/d/1T5RViXGIX7rtblSgcMKN6QBtCO0A6WF5/view?usp=drive_link" TargetMode="External"/><Relationship Id="rId165" Type="http://schemas.openxmlformats.org/officeDocument/2006/relationships/hyperlink" Target="https://drive.google.com/file/d/1E5KetbQ-UhPBE4C6s5p1ZMIn0Ct6W_XC/view?usp=drive_link" TargetMode="External"/><Relationship Id="rId286" Type="http://schemas.openxmlformats.org/officeDocument/2006/relationships/hyperlink" Target="https://drive.google.com/file/d/1au51e4kplW9qmC_tKOrRsjcXwvgSHTF4/view?usp=drive_link" TargetMode="External"/><Relationship Id="rId164" Type="http://schemas.openxmlformats.org/officeDocument/2006/relationships/hyperlink" Target="https://drive.google.com/file/d/1jbOArXCnhfs_Xc36UZ9cIFC5EyXFnfQp/view?usp=drive_link" TargetMode="External"/><Relationship Id="rId285" Type="http://schemas.openxmlformats.org/officeDocument/2006/relationships/hyperlink" Target="https://drive.google.com/file/d/1wwrqwH0S48k1oBad--A4_7zn8zuFKH-x/view?usp=drive_link" TargetMode="External"/><Relationship Id="rId163" Type="http://schemas.openxmlformats.org/officeDocument/2006/relationships/hyperlink" Target="https://drive.google.com/file/d/1FM6FfENDBydaoCDfrkmv5hvWMuvuGrAj/view?usp=drive_link" TargetMode="External"/><Relationship Id="rId284" Type="http://schemas.openxmlformats.org/officeDocument/2006/relationships/hyperlink" Target="https://drive.google.com/file/d/1CuTbE2QUaLC9lUGhZo-aDglil55Jb9CN/view?usp=drive_link" TargetMode="External"/><Relationship Id="rId162" Type="http://schemas.openxmlformats.org/officeDocument/2006/relationships/hyperlink" Target="https://drive.google.com/file/d/1E5KetbQ-UhPBE4C6s5p1ZMIn0Ct6W_XC/view?usp=drive_link" TargetMode="External"/><Relationship Id="rId283" Type="http://schemas.openxmlformats.org/officeDocument/2006/relationships/hyperlink" Target="https://drive.google.com/file/d/1XETqRWa7K-NVQOjApfAjWbxgPXNRNqVZ/view?usp=drive_link" TargetMode="External"/><Relationship Id="rId169" Type="http://schemas.openxmlformats.org/officeDocument/2006/relationships/hyperlink" Target="https://drive.google.com/file/d/1wRlza8KVS2F_wZL8-7eCfVdHfl1-Rtz0/view?usp=drive_link" TargetMode="External"/><Relationship Id="rId168" Type="http://schemas.openxmlformats.org/officeDocument/2006/relationships/hyperlink" Target="https://drive.google.com/file/d/1E5KetbQ-UhPBE4C6s5p1ZMIn0Ct6W_XC/view?usp=drive_link" TargetMode="External"/><Relationship Id="rId289" Type="http://schemas.openxmlformats.org/officeDocument/2006/relationships/hyperlink" Target="https://drive.google.com/file/d/1wwrqwH0S48k1oBad--A4_7zn8zuFKH-x/view?usp=drive_link" TargetMode="External"/><Relationship Id="rId167" Type="http://schemas.openxmlformats.org/officeDocument/2006/relationships/hyperlink" Target="https://drive.google.com/file/d/10XB1geP_CNV-u3_FWXB6J9eKQl0YJXeb/view?usp=drive_link" TargetMode="External"/><Relationship Id="rId288" Type="http://schemas.openxmlformats.org/officeDocument/2006/relationships/hyperlink" Target="https://drive.google.com/file/d/1v3hW4kngcLbP0Bz2qL-g_d9i96i5DP3O/view?usp=drive_link" TargetMode="External"/><Relationship Id="rId166" Type="http://schemas.openxmlformats.org/officeDocument/2006/relationships/hyperlink" Target="https://drive.google.com/file/d/18XSC1IF_ixx_x1mr6lY-heXKPwMe4j-d/view?usp=drive_link" TargetMode="External"/><Relationship Id="rId287" Type="http://schemas.openxmlformats.org/officeDocument/2006/relationships/hyperlink" Target="https://drive.google.com/file/d/1wwrqwH0S48k1oBad--A4_7zn8zuFKH-x/view?usp=drive_link" TargetMode="External"/><Relationship Id="rId161" Type="http://schemas.openxmlformats.org/officeDocument/2006/relationships/hyperlink" Target="https://drive.google.com/file/d/1VQqbhzprO7DWYW0hZv01niXQbFZk9iw0/view?usp=drive_link" TargetMode="External"/><Relationship Id="rId282" Type="http://schemas.openxmlformats.org/officeDocument/2006/relationships/hyperlink" Target="https://drive.google.com/file/d/1GrzXCVgwDF8UfGO1AfkWqtFgj2pIE5vD/view?usp=drive_link" TargetMode="External"/><Relationship Id="rId160" Type="http://schemas.openxmlformats.org/officeDocument/2006/relationships/hyperlink" Target="https://drive.google.com/file/d/1HfDJDZi6M9RIOSMmFLeSvpFF7cKpHTyW/view?usp=drive_link" TargetMode="External"/><Relationship Id="rId281" Type="http://schemas.openxmlformats.org/officeDocument/2006/relationships/hyperlink" Target="https://drive.google.com/file/d/1YeL4TZJXeGWWol77SVm-vd9NvcXsR1hL/view?usp=drive_link" TargetMode="External"/><Relationship Id="rId280" Type="http://schemas.openxmlformats.org/officeDocument/2006/relationships/hyperlink" Target="https://drive.google.com/file/d/19_9kFjDOn8wQWhVdNtYwHnRCqdHY21lH/view?usp=drive_link" TargetMode="External"/><Relationship Id="rId159" Type="http://schemas.openxmlformats.org/officeDocument/2006/relationships/hyperlink" Target="https://drive.google.com/file/d/1E5KetbQ-UhPBE4C6s5p1ZMIn0Ct6W_XC/view?usp=drive_link" TargetMode="External"/><Relationship Id="rId154" Type="http://schemas.openxmlformats.org/officeDocument/2006/relationships/hyperlink" Target="https://drive.google.com/file/d/1LFEkOgGG75VfiNIGSxkiZtnkcOz555xD/view?usp=drive_link" TargetMode="External"/><Relationship Id="rId275" Type="http://schemas.openxmlformats.org/officeDocument/2006/relationships/hyperlink" Target="https://drive.google.com/file/d/1DZZijJzMXH6CjFSumVtWUaC1_0oUOhyd/view?usp=drive_link" TargetMode="External"/><Relationship Id="rId396" Type="http://schemas.openxmlformats.org/officeDocument/2006/relationships/hyperlink" Target="https://drive.google.com/file/d/1o36cJ6GiyU-n3-EJtGd3T8ja42zIRfOL/view?usp=drive_link" TargetMode="External"/><Relationship Id="rId153" Type="http://schemas.openxmlformats.org/officeDocument/2006/relationships/hyperlink" Target="https://drive.google.com/file/d/1bPp7sj3zEr3HYld1G_2IAKnnQ5e_2NV7/view?usp=drive_link" TargetMode="External"/><Relationship Id="rId274" Type="http://schemas.openxmlformats.org/officeDocument/2006/relationships/hyperlink" Target="https://drive.google.com/file/d/1SkiI6TP_3wZLU4lyK-WldD5DdufbCp_f/view?usp=drive_link" TargetMode="External"/><Relationship Id="rId395" Type="http://schemas.openxmlformats.org/officeDocument/2006/relationships/hyperlink" Target="https://drive.google.com/file/d/1BIoBRARiSypgpkQps-Ma4XgD70x15JVC/view?usp=drive_link" TargetMode="External"/><Relationship Id="rId152" Type="http://schemas.openxmlformats.org/officeDocument/2006/relationships/hyperlink" Target="https://drive.google.com/file/d/18TFn-2wAXmwnBhY_bFQDHFjIjmjgNLf1/view?usp=drive_link" TargetMode="External"/><Relationship Id="rId273" Type="http://schemas.openxmlformats.org/officeDocument/2006/relationships/hyperlink" Target="https://drive.google.com/file/d/1Sf1n35xiiS41mxzh39X_1oisFLxuVefy/view?usp=drive_link" TargetMode="External"/><Relationship Id="rId394" Type="http://schemas.openxmlformats.org/officeDocument/2006/relationships/hyperlink" Target="https://drive.google.com/file/d/1V1UYUIN4iLvOvJkDes1xCxY8Jmlem1hU/view?usp=drive_link" TargetMode="External"/><Relationship Id="rId151" Type="http://schemas.openxmlformats.org/officeDocument/2006/relationships/hyperlink" Target="https://drive.google.com/file/d/1noClORGnVQSv7k8G5KV1FKTWeSb8GjGp/view?usp=drive_link" TargetMode="External"/><Relationship Id="rId272" Type="http://schemas.openxmlformats.org/officeDocument/2006/relationships/hyperlink" Target="https://drive.google.com/file/d/1R70w-J6hnSRwkIKuc24sorAuPXxybDXt/view?usp=drive_link" TargetMode="External"/><Relationship Id="rId393" Type="http://schemas.openxmlformats.org/officeDocument/2006/relationships/hyperlink" Target="https://drive.google.com/file/d/1XJU6i02PgvCYXUOa6qSdmdkiy62NHL6_/view?usp=drive_link" TargetMode="External"/><Relationship Id="rId158" Type="http://schemas.openxmlformats.org/officeDocument/2006/relationships/hyperlink" Target="https://drive.google.com/file/d/1LXfTB2uJ7gRH-6Tm70FeVTz3YNC1PCF4/view?usp=drive_link" TargetMode="External"/><Relationship Id="rId279" Type="http://schemas.openxmlformats.org/officeDocument/2006/relationships/hyperlink" Target="https://drive.google.com/file/d/1iTZ3RmrfiqvZABf6ftySF6UWmzVBCVQb/view?usp=drive_link" TargetMode="External"/><Relationship Id="rId157" Type="http://schemas.openxmlformats.org/officeDocument/2006/relationships/hyperlink" Target="https://drive.google.com/file/d/1N4DC6CP78ybtuTm3i5GQtvfgMV4EMHYm/view?usp=drive_link" TargetMode="External"/><Relationship Id="rId278" Type="http://schemas.openxmlformats.org/officeDocument/2006/relationships/hyperlink" Target="https://drive.google.com/file/d/1jLx2PpTVQDC4i2sD2jVBQY7Et_7608My/view?usp=drive_link" TargetMode="External"/><Relationship Id="rId399" Type="http://schemas.openxmlformats.org/officeDocument/2006/relationships/hyperlink" Target="https://drive.google.com/file/d/1Lc3RzH4_FhZKV4WYgnI2k3pN9Wr6_mpS/view?usp=drive_link" TargetMode="External"/><Relationship Id="rId156" Type="http://schemas.openxmlformats.org/officeDocument/2006/relationships/hyperlink" Target="https://drive.google.com/file/d/1xKpkDjlUEuihjm50PRXEh89YyhXsPRoN/view?usp=drive_link" TargetMode="External"/><Relationship Id="rId277" Type="http://schemas.openxmlformats.org/officeDocument/2006/relationships/hyperlink" Target="https://drive.google.com/file/d/1i60fu5YgjqLLyIxFtl_IbArgoqKPtVHV/view?usp=drive_link" TargetMode="External"/><Relationship Id="rId398" Type="http://schemas.openxmlformats.org/officeDocument/2006/relationships/hyperlink" Target="https://drive.google.com/file/d/1BIoBRARiSypgpkQps-Ma4XgD70x15JVC/view?usp=drive_link" TargetMode="External"/><Relationship Id="rId155" Type="http://schemas.openxmlformats.org/officeDocument/2006/relationships/hyperlink" Target="https://drive.google.com/file/d/155sy_PbauRZl_boz3yJVlk-ee3oZIqNQ/view?usp=drive_link" TargetMode="External"/><Relationship Id="rId276" Type="http://schemas.openxmlformats.org/officeDocument/2006/relationships/hyperlink" Target="https://drive.google.com/file/d/1iTZ3RmrfiqvZABf6ftySF6UWmzVBCVQb/view?usp=drive_link" TargetMode="External"/><Relationship Id="rId397" Type="http://schemas.openxmlformats.org/officeDocument/2006/relationships/hyperlink" Target="https://drive.google.com/file/d/13tjSu2FpOReQTeeQs4dSz7sWMm4BgR-v/view?usp=drive_link" TargetMode="External"/><Relationship Id="rId40" Type="http://schemas.openxmlformats.org/officeDocument/2006/relationships/hyperlink" Target="https://drive.google.com/file/d/17KjXXjX8jzN68qVw5KMYkF3Ju3w-a7dN/view?usp=drive_link" TargetMode="External"/><Relationship Id="rId42" Type="http://schemas.openxmlformats.org/officeDocument/2006/relationships/hyperlink" Target="https://drive.google.com/file/d/126fyke7LMa3NiWfym92fTbPYubAHF7s5/view?usp=drive_link" TargetMode="External"/><Relationship Id="rId41" Type="http://schemas.openxmlformats.org/officeDocument/2006/relationships/hyperlink" Target="https://drive.google.com/file/d/1znp-UFcoBIn7GidiCy1dUALfcnJLvf4D/view?usp=drive_link" TargetMode="External"/><Relationship Id="rId44" Type="http://schemas.openxmlformats.org/officeDocument/2006/relationships/hyperlink" Target="https://drive.google.com/file/d/1tLvo2QbrILywzWQRrotNV8a47em2f8q2/view?usp=drive_link" TargetMode="External"/><Relationship Id="rId43" Type="http://schemas.openxmlformats.org/officeDocument/2006/relationships/hyperlink" Target="https://drive.google.com/file/d/1Y5VlPrh2E3t_EdUh_RpHPU6gUPl4XoLv/view?usp=drive_link" TargetMode="External"/><Relationship Id="rId46" Type="http://schemas.openxmlformats.org/officeDocument/2006/relationships/hyperlink" Target="https://drive.google.com/file/d/1BcdbJcm_LjYTPKkw-EEZxwdpgsNXZl0n/view?usp=drive_link" TargetMode="External"/><Relationship Id="rId45" Type="http://schemas.openxmlformats.org/officeDocument/2006/relationships/hyperlink" Target="https://drive.google.com/file/d/1MULRUlqC0_8cafGpMM4loaV38jRUcxr0/view?usp=drive_link" TargetMode="External"/><Relationship Id="rId509" Type="http://schemas.openxmlformats.org/officeDocument/2006/relationships/hyperlink" Target="https://drive.google.com/file/d/1x4ijV3G1PQ34UfsaykkLoivjWNZ05QiO/view?usp=drive_link" TargetMode="External"/><Relationship Id="rId508" Type="http://schemas.openxmlformats.org/officeDocument/2006/relationships/hyperlink" Target="https://drive.google.com/file/d/1iZoVnk5tLdNANw2V9Zi0OMHqRseL0keX/view?usp=drive_link" TargetMode="External"/><Relationship Id="rId629" Type="http://schemas.openxmlformats.org/officeDocument/2006/relationships/hyperlink" Target="https://drive.google.com/file/d/1ugb2yIO-rA28kGdjt34sNlUp6nH4UciB/view?usp=drive_link" TargetMode="External"/><Relationship Id="rId503" Type="http://schemas.openxmlformats.org/officeDocument/2006/relationships/hyperlink" Target="https://drive.google.com/file/d/1P41B7oNrK01GmKPOTja24d84FaQGdC01/view?usp=drive_link" TargetMode="External"/><Relationship Id="rId624" Type="http://schemas.openxmlformats.org/officeDocument/2006/relationships/hyperlink" Target="https://drive.google.com/file/d/113pbFaPASFP5yQERRpfg6HAKv1hkzTU1/view?usp=drive_link" TargetMode="External"/><Relationship Id="rId502" Type="http://schemas.openxmlformats.org/officeDocument/2006/relationships/hyperlink" Target="https://drive.google.com/file/d/1iZoVnk5tLdNANw2V9Zi0OMHqRseL0keX/view?usp=drive_link" TargetMode="External"/><Relationship Id="rId623" Type="http://schemas.openxmlformats.org/officeDocument/2006/relationships/hyperlink" Target="https://drive.google.com/file/d/1KRxVcBZmpIFonE5XXgzfV9cbc4npJRxc/view?usp=drive_link" TargetMode="External"/><Relationship Id="rId501" Type="http://schemas.openxmlformats.org/officeDocument/2006/relationships/hyperlink" Target="https://drive.google.com/file/d/1FnjPgDGkAlWGapyYQfBjYCbBPjozQ0Pi/view?usp=drive_link" TargetMode="External"/><Relationship Id="rId622" Type="http://schemas.openxmlformats.org/officeDocument/2006/relationships/hyperlink" Target="https://drive.google.com/file/d/1Z43XueObY9-pP4SHtbe452DOFY_dVSZr/view?usp=drive_link" TargetMode="External"/><Relationship Id="rId500" Type="http://schemas.openxmlformats.org/officeDocument/2006/relationships/hyperlink" Target="https://drive.google.com/file/d/1iZoVnk5tLdNANw2V9Zi0OMHqRseL0keX/view?usp=drive_link" TargetMode="External"/><Relationship Id="rId621" Type="http://schemas.openxmlformats.org/officeDocument/2006/relationships/hyperlink" Target="https://drive.google.com/file/d/1CO3thrCzPD9hxT6YkFFVn3vh6YNeOxKb/view?usp=drive_link" TargetMode="External"/><Relationship Id="rId507" Type="http://schemas.openxmlformats.org/officeDocument/2006/relationships/hyperlink" Target="https://drive.google.com/file/d/13qP6kp50UYb_TDseYmyBZJXXDk6q9x7_/view?usp=drive_link" TargetMode="External"/><Relationship Id="rId628" Type="http://schemas.openxmlformats.org/officeDocument/2006/relationships/hyperlink" Target="https://drive.google.com/file/d/1o122DDrIaaU1h73qn472Qy75_-RKVZRn/view?usp=drive_link" TargetMode="External"/><Relationship Id="rId506" Type="http://schemas.openxmlformats.org/officeDocument/2006/relationships/hyperlink" Target="https://drive.google.com/file/d/1iZoVnk5tLdNANw2V9Zi0OMHqRseL0keX/view?usp=drive_link" TargetMode="External"/><Relationship Id="rId627" Type="http://schemas.openxmlformats.org/officeDocument/2006/relationships/hyperlink" Target="https://drive.google.com/file/d/1eam7rgMRRlqn3ucPJgvrZn57BJyfjInS/view?usp=drive_link" TargetMode="External"/><Relationship Id="rId505" Type="http://schemas.openxmlformats.org/officeDocument/2006/relationships/hyperlink" Target="https://drive.google.com/file/d/1iKGS_qSaa05tGq0RS-E2aUU90-CD-9OA/view?usp=drive_link" TargetMode="External"/><Relationship Id="rId626" Type="http://schemas.openxmlformats.org/officeDocument/2006/relationships/hyperlink" Target="https://drive.google.com/file/d/157kEJQaKqDVlefliEYOioPC8owGCv67-/view?usp=drive_link" TargetMode="External"/><Relationship Id="rId504" Type="http://schemas.openxmlformats.org/officeDocument/2006/relationships/hyperlink" Target="https://drive.google.com/file/d/1iZoVnk5tLdNANw2V9Zi0OMHqRseL0keX/view?usp=drive_link" TargetMode="External"/><Relationship Id="rId625" Type="http://schemas.openxmlformats.org/officeDocument/2006/relationships/hyperlink" Target="https://drive.google.com/file/d/1LYV6vMPPtj2SKV-ri82oMAUBimelzcwE/view?usp=drive_link" TargetMode="External"/><Relationship Id="rId48" Type="http://schemas.openxmlformats.org/officeDocument/2006/relationships/hyperlink" Target="https://drive.google.com/file/d/1RB_N9gluNC5nwBLCerzs037gcWVBE2mB/view?usp=drive_link" TargetMode="External"/><Relationship Id="rId47" Type="http://schemas.openxmlformats.org/officeDocument/2006/relationships/hyperlink" Target="https://drive.google.com/file/d/1LDngfXayJXpdOrissdqbrcjIjCg01Fnn/view?usp=drive_link" TargetMode="External"/><Relationship Id="rId49" Type="http://schemas.openxmlformats.org/officeDocument/2006/relationships/hyperlink" Target="https://drive.google.com/file/d/1ES6rmQ5uPqIyof3F_CCIHBVpU7MJXSSC/view?usp=drive_link" TargetMode="External"/><Relationship Id="rId620" Type="http://schemas.openxmlformats.org/officeDocument/2006/relationships/hyperlink" Target="https://drive.google.com/file/d/1EknJKAD0yIotqXCoNtyfzST1cEE7bIcJ/view?usp=drive_link" TargetMode="External"/><Relationship Id="rId31" Type="http://schemas.openxmlformats.org/officeDocument/2006/relationships/hyperlink" Target="https://drive.google.com/file/d/1RP2RE2NcFU5yyLK65UG8FjDbP2HJ_gYj/view?usp=drive_link" TargetMode="External"/><Relationship Id="rId30" Type="http://schemas.openxmlformats.org/officeDocument/2006/relationships/hyperlink" Target="https://drive.google.com/file/d/1wGQwdo_NVJnHib8I_5oox-eL0P6RMXVc/view?usp=drive_link" TargetMode="External"/><Relationship Id="rId33" Type="http://schemas.openxmlformats.org/officeDocument/2006/relationships/hyperlink" Target="https://drive.google.com/file/d/1MnV4Yo99_5vW2YWDccIOU6x2J2hFJnS2/view?usp=drive_link" TargetMode="External"/><Relationship Id="rId32" Type="http://schemas.openxmlformats.org/officeDocument/2006/relationships/hyperlink" Target="https://drive.google.com/file/d/1wmQNhtiym6EUZd9Y-it1YElnqSeEQfSB/view?usp=drive_link" TargetMode="External"/><Relationship Id="rId35" Type="http://schemas.openxmlformats.org/officeDocument/2006/relationships/hyperlink" Target="https://drive.google.com/file/d/1nQoarXZUf6mPS1lo3fFN-h0vij1Kijv-/view?usp=drive_link" TargetMode="External"/><Relationship Id="rId34" Type="http://schemas.openxmlformats.org/officeDocument/2006/relationships/hyperlink" Target="https://drive.google.com/file/d/1FvLFz3BpNMlmeNqZ5rxKRxDy_EbQThlf/view?usp=drive_link" TargetMode="External"/><Relationship Id="rId619" Type="http://schemas.openxmlformats.org/officeDocument/2006/relationships/hyperlink" Target="https://drive.google.com/file/d/1nVvI1vZb4oecGd8nWpEKaXtJFm-zBHxs/view?usp=drive_link" TargetMode="External"/><Relationship Id="rId618" Type="http://schemas.openxmlformats.org/officeDocument/2006/relationships/hyperlink" Target="https://drive.google.com/file/d/12tVVOhxhsTBc0NKHk15z5wCIcwinHq21/view?usp=drive_link" TargetMode="External"/><Relationship Id="rId613" Type="http://schemas.openxmlformats.org/officeDocument/2006/relationships/hyperlink" Target="https://drive.google.com/file/d/1rt8fBBqinb5h5NIp4KrOcJH-ZL3Q7uEY/view?usp=drive_link" TargetMode="External"/><Relationship Id="rId612" Type="http://schemas.openxmlformats.org/officeDocument/2006/relationships/hyperlink" Target="https://drive.google.com/file/d/1Uq6okbpY9eNXasm0avzz--FRnZSS7X-s/view?usp=drive_link" TargetMode="External"/><Relationship Id="rId611" Type="http://schemas.openxmlformats.org/officeDocument/2006/relationships/hyperlink" Target="https://drive.google.com/file/d/1DU5x5UblsGkdi0FXZAnaWCn-LurwIOGs/view?usp=drive_link" TargetMode="External"/><Relationship Id="rId610" Type="http://schemas.openxmlformats.org/officeDocument/2006/relationships/hyperlink" Target="https://drive.google.com/file/d/1IcLw2z1fvSytYqBcP9262np05Vpz2dVk/view?usp=drive_link" TargetMode="External"/><Relationship Id="rId617" Type="http://schemas.openxmlformats.org/officeDocument/2006/relationships/hyperlink" Target="https://drive.google.com/file/d/1c9y9f6g9dtJxhZjycvQH0A6rH6j24zcd/view?usp=drive_link" TargetMode="External"/><Relationship Id="rId616" Type="http://schemas.openxmlformats.org/officeDocument/2006/relationships/hyperlink" Target="https://drive.google.com/file/d/1dNf8Fm0FNTIOiiFUw2cikYUKKIlNR_BB/view?usp=drive_link" TargetMode="External"/><Relationship Id="rId615" Type="http://schemas.openxmlformats.org/officeDocument/2006/relationships/hyperlink" Target="https://drive.google.com/file/d/1nXcig4U8-UKdQupDCyL6fZNfjsABe1s8/view?usp=drive_link" TargetMode="External"/><Relationship Id="rId614" Type="http://schemas.openxmlformats.org/officeDocument/2006/relationships/hyperlink" Target="https://drive.google.com/file/d/1W5lagI4DIusKQd_iXhbpMGonftgFwFRn/view?usp=drive_link" TargetMode="External"/><Relationship Id="rId37" Type="http://schemas.openxmlformats.org/officeDocument/2006/relationships/hyperlink" Target="https://drive.google.com/file/d/1nT0j9nFTecMGDyaF2ogSd82DV_sT6m5a/view?usp=drive_link" TargetMode="External"/><Relationship Id="rId36" Type="http://schemas.openxmlformats.org/officeDocument/2006/relationships/hyperlink" Target="https://drive.google.com/file/d/1FvLFz3BpNMlmeNqZ5rxKRxDy_EbQThlf/view?usp=drive_link" TargetMode="External"/><Relationship Id="rId39" Type="http://schemas.openxmlformats.org/officeDocument/2006/relationships/hyperlink" Target="https://drive.google.com/file/d/1P2m4FHEv7xHDjC1Aq53_iR2MK-tUf2K0/view?usp=drive_link" TargetMode="External"/><Relationship Id="rId38" Type="http://schemas.openxmlformats.org/officeDocument/2006/relationships/hyperlink" Target="https://drive.google.com/file/d/1Zduyvn7YUrgOBgnsLvQSQ9nHUMlMaYBe/view?usp=drive_link" TargetMode="External"/><Relationship Id="rId20" Type="http://schemas.openxmlformats.org/officeDocument/2006/relationships/hyperlink" Target="https://drive.google.com/file/d/1ZEXPQmvTgehTZoZHTCsyfpxl7cJda2la/view?usp=drive_link" TargetMode="External"/><Relationship Id="rId22" Type="http://schemas.openxmlformats.org/officeDocument/2006/relationships/hyperlink" Target="https://drive.google.com/file/d/1Ol2k0qMjOJ_CcpFNZBAWJiv1caXNt7U4/view?usp=drive_link" TargetMode="External"/><Relationship Id="rId21" Type="http://schemas.openxmlformats.org/officeDocument/2006/relationships/hyperlink" Target="https://drive.google.com/file/d/1O5oEzhnEu1LfsA_UJuXTlSZhnonJrA1r/view?usp=drive_link" TargetMode="External"/><Relationship Id="rId24" Type="http://schemas.openxmlformats.org/officeDocument/2006/relationships/hyperlink" Target="https://drive.google.com/file/d/1JnrEzltsRhDFBs1yjQI3-T49A3J9yVPe/view?usp=drive_link" TargetMode="External"/><Relationship Id="rId23" Type="http://schemas.openxmlformats.org/officeDocument/2006/relationships/hyperlink" Target="https://drive.google.com/file/d/1soCQxnEFf1h3U_K5SGAabnm37nJI9csB/view?usp=drive_link" TargetMode="External"/><Relationship Id="rId409" Type="http://schemas.openxmlformats.org/officeDocument/2006/relationships/hyperlink" Target="https://drive.google.com/file/d/1tjFwDzm_YT7D0F1tIHU72dZjJYLts3ki/view?usp=drive_link" TargetMode="External"/><Relationship Id="rId404" Type="http://schemas.openxmlformats.org/officeDocument/2006/relationships/hyperlink" Target="https://drive.google.com/file/d/1BIoBRARiSypgpkQps-Ma4XgD70x15JVC/view?usp=drive_link" TargetMode="External"/><Relationship Id="rId525" Type="http://schemas.openxmlformats.org/officeDocument/2006/relationships/hyperlink" Target="https://drive.google.com/file/d/1rIkBE9jph9RMz0JrGq5kMYhAiloHDOja/view?usp=drive_link" TargetMode="External"/><Relationship Id="rId646" Type="http://schemas.openxmlformats.org/officeDocument/2006/relationships/hyperlink" Target="https://drive.google.com/file/d/1Qr_JnZ_xu0rjaRj54NsdERiGJd074WK8/view?usp=drive_link" TargetMode="External"/><Relationship Id="rId403" Type="http://schemas.openxmlformats.org/officeDocument/2006/relationships/hyperlink" Target="https://drive.google.com/file/d/1nNM4_tQ6spJ5LOxEF9w98CEc9Hwu8rY3/view?usp=drive_link" TargetMode="External"/><Relationship Id="rId524" Type="http://schemas.openxmlformats.org/officeDocument/2006/relationships/hyperlink" Target="https://drive.google.com/file/d/16hsc2IREgVwe8U_woydNygpVzH5Z3hT8/view?usp=drive_link" TargetMode="External"/><Relationship Id="rId645" Type="http://schemas.openxmlformats.org/officeDocument/2006/relationships/hyperlink" Target="https://drive.google.com/file/d/1F2D_xEMYD-k92RF-9-Ehsn1I0wgKVTcC/view?usp=share_link" TargetMode="External"/><Relationship Id="rId402" Type="http://schemas.openxmlformats.org/officeDocument/2006/relationships/hyperlink" Target="https://drive.google.com/file/d/1VFzy8VOlqivtCYrGj60KQ-JVD9O3SCPm/view?usp=drive_link" TargetMode="External"/><Relationship Id="rId523" Type="http://schemas.openxmlformats.org/officeDocument/2006/relationships/hyperlink" Target="https://drive.google.com/file/d/1F9jaC0NwSjVptyaReRXZBtwSVXCCUkeQ/view?usp=drive_link" TargetMode="External"/><Relationship Id="rId644" Type="http://schemas.openxmlformats.org/officeDocument/2006/relationships/hyperlink" Target="https://drive.google.com/file/d/15SK-Yb7RV5tOzb82DIMVcz_1PXGGAFip/view?usp=share_link" TargetMode="External"/><Relationship Id="rId401" Type="http://schemas.openxmlformats.org/officeDocument/2006/relationships/hyperlink" Target="https://drive.google.com/file/d/1BIoBRARiSypgpkQps-Ma4XgD70x15JVC/view?usp=drive_link" TargetMode="External"/><Relationship Id="rId522" Type="http://schemas.openxmlformats.org/officeDocument/2006/relationships/hyperlink" Target="https://drive.google.com/file/d/1PCmAsWdblwctiB_LinQ3C4tRKmqts9WO/view?usp=drive_link" TargetMode="External"/><Relationship Id="rId643" Type="http://schemas.openxmlformats.org/officeDocument/2006/relationships/hyperlink" Target="https://drive.google.com/file/d/1TsaDbQS0VtZM40SJGA9DbUtY9Fcw0M2P/view?usp=share_link" TargetMode="External"/><Relationship Id="rId408" Type="http://schemas.openxmlformats.org/officeDocument/2006/relationships/hyperlink" Target="https://drive.google.com/file/d/1BIoBRARiSypgpkQps-Ma4XgD70x15JVC/view?usp=drive_link" TargetMode="External"/><Relationship Id="rId529" Type="http://schemas.openxmlformats.org/officeDocument/2006/relationships/hyperlink" Target="https://drive.google.com/file/d/1sM_RAADpinhLPeH4lo_5wxaKbv0ve8R9/view?usp=drive_link" TargetMode="External"/><Relationship Id="rId407" Type="http://schemas.openxmlformats.org/officeDocument/2006/relationships/hyperlink" Target="https://drive.google.com/file/d/1Cf_-H1LYA5x6fViWNMFhfajdUdJRdQ0p/view?usp=drive_link" TargetMode="External"/><Relationship Id="rId528" Type="http://schemas.openxmlformats.org/officeDocument/2006/relationships/hyperlink" Target="https://drive.google.com/file/d/16qz6PUU53NZm6XyJRn7yqmiP0dSBTHoi/view?usp=drive_link" TargetMode="External"/><Relationship Id="rId649" Type="http://schemas.openxmlformats.org/officeDocument/2006/relationships/hyperlink" Target="https://drive.google.com/file/d/1aOumVV7TLHeFkos5Kz35ovGhRlsZWIgM/view?usp=share_link" TargetMode="External"/><Relationship Id="rId406" Type="http://schemas.openxmlformats.org/officeDocument/2006/relationships/hyperlink" Target="https://drive.google.com/file/d/1BIoBRARiSypgpkQps-Ma4XgD70x15JVC/view?usp=drive_link" TargetMode="External"/><Relationship Id="rId527" Type="http://schemas.openxmlformats.org/officeDocument/2006/relationships/hyperlink" Target="https://drive.google.com/file/d/1OtEnPHVFQte_TNJnKEV16uWqjg3gJR2y/view?usp=drive_link" TargetMode="External"/><Relationship Id="rId648" Type="http://schemas.openxmlformats.org/officeDocument/2006/relationships/hyperlink" Target="https://drive.google.com/file/d/1zB_xJbs0agNT4aB7ukq3u7s_oE5hZr-a/view?usp=share_link" TargetMode="External"/><Relationship Id="rId405" Type="http://schemas.openxmlformats.org/officeDocument/2006/relationships/hyperlink" Target="https://drive.google.com/file/d/1Ez7WR8mRE1-YjPP1ZSLX507QWzVbr33M/view?usp=drive_link" TargetMode="External"/><Relationship Id="rId526" Type="http://schemas.openxmlformats.org/officeDocument/2006/relationships/hyperlink" Target="https://drive.google.com/file/d/1BIoBRARiSypgpkQps-Ma4XgD70x15JVC/view?usp=drive_link" TargetMode="External"/><Relationship Id="rId647" Type="http://schemas.openxmlformats.org/officeDocument/2006/relationships/hyperlink" Target="https://drive.google.com/file/d/1d9god-ETctz_7mbRrR2FEGu5RTzzcDgq/view?usp=drive_link" TargetMode="External"/><Relationship Id="rId26" Type="http://schemas.openxmlformats.org/officeDocument/2006/relationships/hyperlink" Target="https://drive.google.com/file/d/1_hDNZ5vaYUO2IrPQoIHOph_i_3ObdXWM/view?usp=drive_link" TargetMode="External"/><Relationship Id="rId25" Type="http://schemas.openxmlformats.org/officeDocument/2006/relationships/hyperlink" Target="https://drive.google.com/file/d/13xbMuoOc1Rtr8l4OG7-GWA15M2Z3513z/view?usp=drive_link" TargetMode="External"/><Relationship Id="rId28" Type="http://schemas.openxmlformats.org/officeDocument/2006/relationships/hyperlink" Target="https://drive.google.com/file/d/1o-v9ECdWQlzqtH10ORT6N-no8cGhkKXL/view?usp=drive_link" TargetMode="External"/><Relationship Id="rId27" Type="http://schemas.openxmlformats.org/officeDocument/2006/relationships/hyperlink" Target="https://drive.google.com/file/d/1jGaFPTI5ddWLySc4j4EUI-a5qa0oPnsv/view?usp=drive_link" TargetMode="External"/><Relationship Id="rId400" Type="http://schemas.openxmlformats.org/officeDocument/2006/relationships/hyperlink" Target="https://drive.google.com/file/d/16EmEVeWiAFnA52sRHbFFLb9RxVpIFqlf/view?usp=drive_link" TargetMode="External"/><Relationship Id="rId521" Type="http://schemas.openxmlformats.org/officeDocument/2006/relationships/hyperlink" Target="https://drive.google.com/file/d/1wBxwU3GNTse6hBAMqyffHV-CNe6cQwBA/view?usp=drive_link" TargetMode="External"/><Relationship Id="rId642" Type="http://schemas.openxmlformats.org/officeDocument/2006/relationships/hyperlink" Target="https://drive.google.com/file/d/1PhvQCE6ZfAXqg_4-6l5zxwrZRbbXDzEL/view?usp=drive_link" TargetMode="External"/><Relationship Id="rId29" Type="http://schemas.openxmlformats.org/officeDocument/2006/relationships/hyperlink" Target="https://drive.google.com/file/d/1rlgBB2UuOocPWDXNhW8dhFe6-0j5nsjX/view?usp=drive_link" TargetMode="External"/><Relationship Id="rId520" Type="http://schemas.openxmlformats.org/officeDocument/2006/relationships/hyperlink" Target="https://drive.google.com/file/d/19ZtK1B5_sUxoZiSvu17oM1NKRF_aSoBx/view?usp=drive_link" TargetMode="External"/><Relationship Id="rId641" Type="http://schemas.openxmlformats.org/officeDocument/2006/relationships/hyperlink" Target="https://drive.google.com/file/d/1Qgt1lKrhQc6WV44Z8Q1Faij9hg5icCya/view?usp=drive_link" TargetMode="External"/><Relationship Id="rId640" Type="http://schemas.openxmlformats.org/officeDocument/2006/relationships/hyperlink" Target="https://drive.google.com/file/d/1HKA582XMManz5zxwlFbo6Iw7tlOWa_qv/view?usp=share_link" TargetMode="External"/><Relationship Id="rId11" Type="http://schemas.openxmlformats.org/officeDocument/2006/relationships/hyperlink" Target="https://drive.google.com/file/d/1Qod-KmmZMp4Cbe-dZr6h6PuA6nEPBGA1/view?usp=drive_link" TargetMode="External"/><Relationship Id="rId10" Type="http://schemas.openxmlformats.org/officeDocument/2006/relationships/hyperlink" Target="https://drive.google.com/file/d/107efXxA_nPUTAPPwc7yrSlyEhqvwYtm5/view?usp=drive_link" TargetMode="External"/><Relationship Id="rId13" Type="http://schemas.openxmlformats.org/officeDocument/2006/relationships/hyperlink" Target="https://drive.google.com/file/d/1tUA9M0edqHzotCRUhEfyB7iZS5_EKBEG/view?usp=drive_link" TargetMode="External"/><Relationship Id="rId12" Type="http://schemas.openxmlformats.org/officeDocument/2006/relationships/hyperlink" Target="https://drive.google.com/file/d/1k4LHtvFxz3WiBcfqyLhH3_DDg-d5bcww/view?usp=drive_link" TargetMode="External"/><Relationship Id="rId519" Type="http://schemas.openxmlformats.org/officeDocument/2006/relationships/hyperlink" Target="https://drive.google.com/file/d/1GzzGscJ1L9ViD12cBWoAxrGiEevJyPeU/view?usp=drive_link" TargetMode="External"/><Relationship Id="rId514" Type="http://schemas.openxmlformats.org/officeDocument/2006/relationships/hyperlink" Target="https://drive.google.com/file/d/1b4r5u2dNKd9vuH9oIUCZf5v_eAmf7mS2/view?usp=drive_link" TargetMode="External"/><Relationship Id="rId635" Type="http://schemas.openxmlformats.org/officeDocument/2006/relationships/hyperlink" Target="https://drive.google.com/file/d/1FIRm02PQV48FfcXscrmt-Yk6SAk9EQ2d/view?usp=drive_link" TargetMode="External"/><Relationship Id="rId513" Type="http://schemas.openxmlformats.org/officeDocument/2006/relationships/hyperlink" Target="https://drive.google.com/file/d/1PGdsQXQg34R2UHoE-Jr5hqEr8zn0Xtmc/view?usp=drive_link" TargetMode="External"/><Relationship Id="rId634" Type="http://schemas.openxmlformats.org/officeDocument/2006/relationships/hyperlink" Target="https://drive.google.com/file/d/1rYk4qTlPstdb44s_Kqv9q_7UOuEUvPsI/view?usp=drive_link" TargetMode="External"/><Relationship Id="rId512" Type="http://schemas.openxmlformats.org/officeDocument/2006/relationships/hyperlink" Target="https://drive.google.com/file/d/1jaJmlPy9so4tWv7USpMs5twQ4DwhYooV/view?usp=drive_link" TargetMode="External"/><Relationship Id="rId633" Type="http://schemas.openxmlformats.org/officeDocument/2006/relationships/hyperlink" Target="https://drive.google.com/file/d/13A3QwXSgEQ_pEBkNwKlXAJIrdUCVrEDC/view?usp=drive_link" TargetMode="External"/><Relationship Id="rId511" Type="http://schemas.openxmlformats.org/officeDocument/2006/relationships/hyperlink" Target="https://drive.google.com/file/d/1hSPJDae_g6fLCwrg5JGAWLQkjEGtW0As/view?usp=drive_link" TargetMode="External"/><Relationship Id="rId632" Type="http://schemas.openxmlformats.org/officeDocument/2006/relationships/hyperlink" Target="https://drive.google.com/file/d/1McuF1xAmHfsyKjwa5uv-LBthsYpOrOL1/view?usp=drive_link" TargetMode="External"/><Relationship Id="rId518" Type="http://schemas.openxmlformats.org/officeDocument/2006/relationships/hyperlink" Target="https://drive.google.com/file/d/12u3_HiVz8Wl7xMZisxreVj3qpk7SGUL3/view?usp=drive_link" TargetMode="External"/><Relationship Id="rId639" Type="http://schemas.openxmlformats.org/officeDocument/2006/relationships/hyperlink" Target="https://drive.google.com/file/d/17lyeffR7yFvf47yuraVBJhjFk1jKGiSj/view?usp=share_link" TargetMode="External"/><Relationship Id="rId517" Type="http://schemas.openxmlformats.org/officeDocument/2006/relationships/hyperlink" Target="https://drive.google.com/file/d/13Vbg6i21yywt91-3rhIkAhaju7RPCcsM/view?usp=drive_link" TargetMode="External"/><Relationship Id="rId638" Type="http://schemas.openxmlformats.org/officeDocument/2006/relationships/hyperlink" Target="https://drive.google.com/file/d/1C1xExx69dDuDX2-rzb6uX8gM4skHlc8L/view?usp=drive_link" TargetMode="External"/><Relationship Id="rId516" Type="http://schemas.openxmlformats.org/officeDocument/2006/relationships/hyperlink" Target="https://drive.google.com/file/d/1NRTrELl9JqEgBA5ZSAxCsi2Dvdbp84pg/view?usp=drive_link" TargetMode="External"/><Relationship Id="rId637" Type="http://schemas.openxmlformats.org/officeDocument/2006/relationships/hyperlink" Target="https://drive.google.com/file/d/13msRCT3bM3d3vBXvXzxTy3CC3WLNOUaJ/view?usp=drive_link" TargetMode="External"/><Relationship Id="rId515" Type="http://schemas.openxmlformats.org/officeDocument/2006/relationships/hyperlink" Target="https://drive.google.com/file/d/13K5la2DKVhOOL_OJg6fL6AnMrywsx58o/view?usp=drive_link" TargetMode="External"/><Relationship Id="rId636" Type="http://schemas.openxmlformats.org/officeDocument/2006/relationships/hyperlink" Target="https://drive.google.com/file/d/1msZisnSzuz-XMdEp3u5BjMLRT7qS7x4j/view?usp=drive_link" TargetMode="External"/><Relationship Id="rId15" Type="http://schemas.openxmlformats.org/officeDocument/2006/relationships/hyperlink" Target="https://drive.google.com/file/d/1wvlm5vWDGLeaoaP0a5XmKLNE15s1a_ZT/view?usp=drive_link" TargetMode="External"/><Relationship Id="rId14" Type="http://schemas.openxmlformats.org/officeDocument/2006/relationships/hyperlink" Target="https://drive.google.com/file/d/1GGHKpEx-r2TgqXv2txJGk5_aK-o2ZSrw/view?usp=drive_link" TargetMode="External"/><Relationship Id="rId17" Type="http://schemas.openxmlformats.org/officeDocument/2006/relationships/hyperlink" Target="https://drive.google.com/file/d/1jXzpwCn0HPwWpjX3zuLbZDrcP72IyoPx/view?usp=drive_link" TargetMode="External"/><Relationship Id="rId16" Type="http://schemas.openxmlformats.org/officeDocument/2006/relationships/hyperlink" Target="https://drive.google.com/file/d/1oB9GlmBvGr0TloOdATdshZiXDaeT71rp/view?usp=drive_link" TargetMode="External"/><Relationship Id="rId19" Type="http://schemas.openxmlformats.org/officeDocument/2006/relationships/hyperlink" Target="https://drive.google.com/file/d/1ySRnKyR0Co3blFiDU-ULSrIYFztqc8e-/view?usp=drive_link" TargetMode="External"/><Relationship Id="rId510" Type="http://schemas.openxmlformats.org/officeDocument/2006/relationships/hyperlink" Target="https://drive.google.com/file/d/1WljG_0DXkCpNsVksizB0XG3tVK0uzBWY/view?usp=drive_link" TargetMode="External"/><Relationship Id="rId631" Type="http://schemas.openxmlformats.org/officeDocument/2006/relationships/hyperlink" Target="https://drive.google.com/file/d/1rYk4qTlPstdb44s_Kqv9q_7UOuEUvPsI/view?usp=drive_link" TargetMode="External"/><Relationship Id="rId18" Type="http://schemas.openxmlformats.org/officeDocument/2006/relationships/hyperlink" Target="https://drive.google.com/file/d/1Tc9gLGoWtCix8bIq1RWMgPqUd75JfS8E/view?usp=drive_link" TargetMode="External"/><Relationship Id="rId630" Type="http://schemas.openxmlformats.org/officeDocument/2006/relationships/hyperlink" Target="https://drive.google.com/file/d/1ibzAEgEaoRP0_Gr4XuNKghcz0L2gh3tq/view?usp=drive_link" TargetMode="External"/><Relationship Id="rId84" Type="http://schemas.openxmlformats.org/officeDocument/2006/relationships/hyperlink" Target="https://drive.google.com/file/d/16Put7VWtmF2imo4OOHUm4035Q8ZeDayC/view?usp=drive_link" TargetMode="External"/><Relationship Id="rId83" Type="http://schemas.openxmlformats.org/officeDocument/2006/relationships/hyperlink" Target="https://drive.google.com/file/d/1e4aSINa8GnWhRoqILIYyE9-ypeKBnhuL/view?usp=drive_link" TargetMode="External"/><Relationship Id="rId86" Type="http://schemas.openxmlformats.org/officeDocument/2006/relationships/hyperlink" Target="https://drive.google.com/file/d/11KykzspZAseVpQh5Yk48cOzY8DfDygqh/view?usp=drive_link" TargetMode="External"/><Relationship Id="rId85" Type="http://schemas.openxmlformats.org/officeDocument/2006/relationships/hyperlink" Target="https://drive.google.com/file/d/1ao0vLqbUvkCQBoe_NipC0nS5QdcfRnKH/view?usp=drive_link" TargetMode="External"/><Relationship Id="rId88" Type="http://schemas.openxmlformats.org/officeDocument/2006/relationships/hyperlink" Target="https://drive.google.com/file/d/1mtGceB1x02d5N_peUStW1Zk4ig79wwHm/view?usp=drive_link" TargetMode="External"/><Relationship Id="rId87" Type="http://schemas.openxmlformats.org/officeDocument/2006/relationships/hyperlink" Target="https://drive.google.com/file/d/10hMu0PjqAOuYSd1abXVH3setQMYzgSig/view?usp=drive_link" TargetMode="External"/><Relationship Id="rId89" Type="http://schemas.openxmlformats.org/officeDocument/2006/relationships/hyperlink" Target="https://drive.google.com/file/d/1FiQ9tz4yEf2Dq3y-47xU1RBRlWP5otpX/view?usp=drive_link" TargetMode="External"/><Relationship Id="rId80" Type="http://schemas.openxmlformats.org/officeDocument/2006/relationships/hyperlink" Target="https://drive.google.com/file/d/1_mVpCWtll4ZqhBOD48UIGbJFHwgsFKlZ/view?usp=drive_link" TargetMode="External"/><Relationship Id="rId82" Type="http://schemas.openxmlformats.org/officeDocument/2006/relationships/hyperlink" Target="https://drive.google.com/file/d/1_mVpCWtll4ZqhBOD48UIGbJFHwgsFKlZ/view?usp=drive_link" TargetMode="External"/><Relationship Id="rId81" Type="http://schemas.openxmlformats.org/officeDocument/2006/relationships/hyperlink" Target="https://drive.google.com/file/d/1jTxAKtRI57mjj5Aw4PMWN4wDxyFsPj6-/view?usp=drive_link" TargetMode="External"/><Relationship Id="rId73" Type="http://schemas.openxmlformats.org/officeDocument/2006/relationships/hyperlink" Target="https://drive.google.com/file/d/1LYgG0hqYd4Bjhx0cl1d1vmgvOt770_Wb/view?usp=drive_link" TargetMode="External"/><Relationship Id="rId72" Type="http://schemas.openxmlformats.org/officeDocument/2006/relationships/hyperlink" Target="https://drive.google.com/file/d/1_mVpCWtll4ZqhBOD48UIGbJFHwgsFKlZ/view?usp=drive_link" TargetMode="External"/><Relationship Id="rId75" Type="http://schemas.openxmlformats.org/officeDocument/2006/relationships/hyperlink" Target="https://drive.google.com/file/d/1gAxjmuR68VUHpw1fFvkr5uBUwcuwpcX6/view?usp=drive_link" TargetMode="External"/><Relationship Id="rId74" Type="http://schemas.openxmlformats.org/officeDocument/2006/relationships/hyperlink" Target="https://drive.google.com/file/d/1_mVpCWtll4ZqhBOD48UIGbJFHwgsFKlZ/view?usp=drive_link" TargetMode="External"/><Relationship Id="rId77" Type="http://schemas.openxmlformats.org/officeDocument/2006/relationships/hyperlink" Target="https://drive.google.com/file/d/1TW70igaVrajiCG9HImBvK2QBeML2yGKp/view?usp=drive_link" TargetMode="External"/><Relationship Id="rId76" Type="http://schemas.openxmlformats.org/officeDocument/2006/relationships/hyperlink" Target="https://drive.google.com/file/d/1_mVpCWtll4ZqhBOD48UIGbJFHwgsFKlZ/view?usp=drive_link" TargetMode="External"/><Relationship Id="rId79" Type="http://schemas.openxmlformats.org/officeDocument/2006/relationships/hyperlink" Target="https://drive.google.com/file/d/16QCZ8uuxsURYtzHYTEWMyzuWQOk-4jLT/view?usp=drive_link" TargetMode="External"/><Relationship Id="rId78" Type="http://schemas.openxmlformats.org/officeDocument/2006/relationships/hyperlink" Target="https://drive.google.com/file/d/1_mVpCWtll4ZqhBOD48UIGbJFHwgsFKlZ/view?usp=drive_link" TargetMode="External"/><Relationship Id="rId71" Type="http://schemas.openxmlformats.org/officeDocument/2006/relationships/hyperlink" Target="https://drive.google.com/file/d/1bNFhl64p1F_mkD773_QY7PE33vxcMRJl/view?usp=drive_link" TargetMode="External"/><Relationship Id="rId70" Type="http://schemas.openxmlformats.org/officeDocument/2006/relationships/hyperlink" Target="https://drive.google.com/file/d/1_mVpCWtll4ZqhBOD48UIGbJFHwgsFKlZ/view?usp=drive_link" TargetMode="External"/><Relationship Id="rId62" Type="http://schemas.openxmlformats.org/officeDocument/2006/relationships/hyperlink" Target="https://drive.google.com/file/d/1z76eoWSzlOnCZFmnb2REN8hwxskqHlS6/view?usp=drive_link" TargetMode="External"/><Relationship Id="rId61" Type="http://schemas.openxmlformats.org/officeDocument/2006/relationships/hyperlink" Target="https://drive.google.com/file/d/14YbElHkleGVJ-bK0jxEA7Q7YlXzglXvx/view?usp=drive_link" TargetMode="External"/><Relationship Id="rId64" Type="http://schemas.openxmlformats.org/officeDocument/2006/relationships/hyperlink" Target="https://drive.google.com/file/d/12HVKRRuT14ph3tOBRSQr0hL80vran5Fk/view?usp=drive_link" TargetMode="External"/><Relationship Id="rId63" Type="http://schemas.openxmlformats.org/officeDocument/2006/relationships/hyperlink" Target="https://drive.google.com/file/d/15oRbTJAQXMrZhKnkmkq-yjEGLrkV8xAz/view?usp=drive_link" TargetMode="External"/><Relationship Id="rId66" Type="http://schemas.openxmlformats.org/officeDocument/2006/relationships/hyperlink" Target="https://drive.google.com/file/d/17EUG4Yry7j5-9WTDKvn8MRU6acleACAk/view?usp=drive_link" TargetMode="External"/><Relationship Id="rId65" Type="http://schemas.openxmlformats.org/officeDocument/2006/relationships/hyperlink" Target="https://drive.google.com/file/d/1TGoa_Lv2H8aG26rut_faO7ja8aW794te/view?usp=drive_link" TargetMode="External"/><Relationship Id="rId68" Type="http://schemas.openxmlformats.org/officeDocument/2006/relationships/hyperlink" Target="https://drive.google.com/file/d/1_mVpCWtll4ZqhBOD48UIGbJFHwgsFKlZ/view?usp=drive_link" TargetMode="External"/><Relationship Id="rId67" Type="http://schemas.openxmlformats.org/officeDocument/2006/relationships/hyperlink" Target="https://drive.google.com/file/d/1ZPzWDCYmXoQvgzNsId7ObnvNgU1c6vhB/view?usp=drive_link" TargetMode="External"/><Relationship Id="rId609" Type="http://schemas.openxmlformats.org/officeDocument/2006/relationships/hyperlink" Target="https://drive.google.com/file/d/15ajXNBmaF7yYxpIxfX9rNTfYOXfkxaiK/view?usp=drive_link" TargetMode="External"/><Relationship Id="rId608" Type="http://schemas.openxmlformats.org/officeDocument/2006/relationships/hyperlink" Target="https://drive.google.com/file/d/1Yu5lllZRGD5euIoMYYE_SYhTgwYgeaMD/view?usp=drive_link" TargetMode="External"/><Relationship Id="rId607" Type="http://schemas.openxmlformats.org/officeDocument/2006/relationships/hyperlink" Target="https://drive.google.com/file/d/1APlIy7T_fzRJkX2Or7JjcNGXv1Ygkwei/view?usp=drive_link" TargetMode="External"/><Relationship Id="rId60" Type="http://schemas.openxmlformats.org/officeDocument/2006/relationships/hyperlink" Target="https://drive.google.com/file/d/1d0K-UIn2i1BVN_rd9mmtJdpEEVmUL5Ic/view?usp=drive_link" TargetMode="External"/><Relationship Id="rId602" Type="http://schemas.openxmlformats.org/officeDocument/2006/relationships/hyperlink" Target="https://drive.google.com/file/d/1BIoBRARiSypgpkQps-Ma4XgD70x15JVC/view?usp=drive_link" TargetMode="External"/><Relationship Id="rId601" Type="http://schemas.openxmlformats.org/officeDocument/2006/relationships/hyperlink" Target="https://drive.google.com/file/d/1kJYThVPcdOn8gAPmZcKVcYv0a-Ba-Vl4/view?usp=drive_link" TargetMode="External"/><Relationship Id="rId600" Type="http://schemas.openxmlformats.org/officeDocument/2006/relationships/hyperlink" Target="https://drive.google.com/file/d/1BIoBRARiSypgpkQps-Ma4XgD70x15JVC/view?usp=drive_link" TargetMode="External"/><Relationship Id="rId606" Type="http://schemas.openxmlformats.org/officeDocument/2006/relationships/hyperlink" Target="https://drive.google.com/file/d/1oQgDB8PuJnX4hJM-4OD1SYwBcy1iMT1L/view?usp=drive_link" TargetMode="External"/><Relationship Id="rId605" Type="http://schemas.openxmlformats.org/officeDocument/2006/relationships/hyperlink" Target="https://drive.google.com/file/d/1JORUcgZ8RvoMRIHVMTl_XrJ67GGUKqMI/view?usp=drive_link" TargetMode="External"/><Relationship Id="rId604" Type="http://schemas.openxmlformats.org/officeDocument/2006/relationships/hyperlink" Target="https://drive.google.com/file/d/1A9pT37nrbMT2AvX_5H8-NC1Sb57W_JtM/view?usp=drive_link" TargetMode="External"/><Relationship Id="rId603" Type="http://schemas.openxmlformats.org/officeDocument/2006/relationships/hyperlink" Target="https://drive.google.com/file/d/1vU8j_KfRzo7f9T8juLgjcSrDPw8Ng2JN/view?usp=drive_link" TargetMode="External"/><Relationship Id="rId69" Type="http://schemas.openxmlformats.org/officeDocument/2006/relationships/hyperlink" Target="https://drive.google.com/file/d/1DZUa-H-EpyI4hWgZ3NAQsINwWu9NDMb5/view?usp=drive_link" TargetMode="External"/><Relationship Id="rId51" Type="http://schemas.openxmlformats.org/officeDocument/2006/relationships/hyperlink" Target="https://drive.google.com/file/d/1ChpxraX_rYC9zklrIwvFI1ye7D2neQz3/view?usp=drive_link" TargetMode="External"/><Relationship Id="rId50" Type="http://schemas.openxmlformats.org/officeDocument/2006/relationships/hyperlink" Target="https://drive.google.com/file/d/17MuFggac765-RYYcCQQqZynmzu3gHfvK/view?usp=drive_link" TargetMode="External"/><Relationship Id="rId53" Type="http://schemas.openxmlformats.org/officeDocument/2006/relationships/hyperlink" Target="https://drive.google.com/file/d/1PAylOOm5YiqUCX6cBscCK1uYsHoYmy3A/view?usp=drive_link" TargetMode="External"/><Relationship Id="rId52" Type="http://schemas.openxmlformats.org/officeDocument/2006/relationships/hyperlink" Target="https://drive.google.com/file/d/1_oEwTPBo38lvurd4EWfQ0c5-IPy0E5mU/view?usp=drive_link" TargetMode="External"/><Relationship Id="rId55" Type="http://schemas.openxmlformats.org/officeDocument/2006/relationships/hyperlink" Target="https://drive.google.com/file/d/1_QYRJSCXz8_uD2MTFHWeSf7Dx8MI-Jvx/view?usp=drive_link" TargetMode="External"/><Relationship Id="rId54" Type="http://schemas.openxmlformats.org/officeDocument/2006/relationships/hyperlink" Target="https://drive.google.com/file/d/1w5zm_DxMS24ObfUynNPgMdz-ccqZ21r6/view?usp=drive_link" TargetMode="External"/><Relationship Id="rId57" Type="http://schemas.openxmlformats.org/officeDocument/2006/relationships/hyperlink" Target="https://drive.google.com/file/d/1tRUcfOZf6PQDtj5PoHBds66OR8HQ9Wup/view?usp=drive_link" TargetMode="External"/><Relationship Id="rId56" Type="http://schemas.openxmlformats.org/officeDocument/2006/relationships/hyperlink" Target="https://drive.google.com/file/d/1a9JgvkTdijhJwhwZFERB8layFEe0wfv9/view?usp=drive_link" TargetMode="External"/><Relationship Id="rId59" Type="http://schemas.openxmlformats.org/officeDocument/2006/relationships/hyperlink" Target="https://drive.google.com/file/d/1ZC2NSi21zwH-Z_GSbNHwhlw3rKUZOXmA/view?usp=drive_link" TargetMode="External"/><Relationship Id="rId58" Type="http://schemas.openxmlformats.org/officeDocument/2006/relationships/hyperlink" Target="https://drive.google.com/file/d/1DZe78ibrqrWyi1EF3LlntD6u970J4_yB/view?usp=drive_link" TargetMode="External"/><Relationship Id="rId590" Type="http://schemas.openxmlformats.org/officeDocument/2006/relationships/hyperlink" Target="https://drive.google.com/file/d/1v4Eos6c4T6b9MBmip_XqSwYB2wq9YNSN/view?usp=drive_link" TargetMode="External"/><Relationship Id="rId107" Type="http://schemas.openxmlformats.org/officeDocument/2006/relationships/hyperlink" Target="https://drive.google.com/file/d/1yMAaums-ujyP9eCtMwg4PPG0CDgOAiPX/view?usp=drive_link" TargetMode="External"/><Relationship Id="rId228" Type="http://schemas.openxmlformats.org/officeDocument/2006/relationships/hyperlink" Target="https://drive.google.com/file/d/1QQK6PcnoAaUFcwPZRFnsUDQzTevCQ-MY/view?usp=drive_link" TargetMode="External"/><Relationship Id="rId349" Type="http://schemas.openxmlformats.org/officeDocument/2006/relationships/hyperlink" Target="https://drive.google.com/file/d/1bl8TqWsf-TgUxeHJGRljBakpb2ZwZj77/view?usp=drive_link" TargetMode="External"/><Relationship Id="rId106" Type="http://schemas.openxmlformats.org/officeDocument/2006/relationships/hyperlink" Target="https://drive.google.com/file/d/1s_utB90C5tgWQyn4BrADsv5w2v7lCfJq/view?usp=drive_link" TargetMode="External"/><Relationship Id="rId227" Type="http://schemas.openxmlformats.org/officeDocument/2006/relationships/hyperlink" Target="https://drive.google.com/file/d/10jucGeJcd-woX_wSglMNQ2J7ypDZjx0M/view?usp=drive_link" TargetMode="External"/><Relationship Id="rId348" Type="http://schemas.openxmlformats.org/officeDocument/2006/relationships/hyperlink" Target="https://drive.google.com/file/d/1ByRznfVjO7u2WaEISbB_LLg-8HfHSrL1/view?usp=drive_link" TargetMode="External"/><Relationship Id="rId469" Type="http://schemas.openxmlformats.org/officeDocument/2006/relationships/hyperlink" Target="https://drive.google.com/file/d/1x8F57Njy8V0hS2zdjCyTiqbf0Dv-41Xu/view?usp=drive_link" TargetMode="External"/><Relationship Id="rId105" Type="http://schemas.openxmlformats.org/officeDocument/2006/relationships/hyperlink" Target="https://drive.google.com/file/d/1yMAaums-ujyP9eCtMwg4PPG0CDgOAiPX/view?usp=drive_link" TargetMode="External"/><Relationship Id="rId226" Type="http://schemas.openxmlformats.org/officeDocument/2006/relationships/hyperlink" Target="https://drive.google.com/file/d/1lYWtrMDxHdXVafeny1TfP6c_16Xn3JdP/view?usp=drive_link" TargetMode="External"/><Relationship Id="rId347" Type="http://schemas.openxmlformats.org/officeDocument/2006/relationships/hyperlink" Target="https://drive.google.com/file/d/1bl8TqWsf-TgUxeHJGRljBakpb2ZwZj77/view?usp=drive_link" TargetMode="External"/><Relationship Id="rId468" Type="http://schemas.openxmlformats.org/officeDocument/2006/relationships/hyperlink" Target="https://drive.google.com/file/d/12YgKogyAJaiAEbV61dlJLzWMmwXAsyJY/view?usp=drive_link" TargetMode="External"/><Relationship Id="rId589" Type="http://schemas.openxmlformats.org/officeDocument/2006/relationships/hyperlink" Target="https://drive.google.com/file/d/19s-xoPuVMpCUHTwcrJlWQqDQMnc7E2ua/view?usp=drive_link" TargetMode="External"/><Relationship Id="rId104" Type="http://schemas.openxmlformats.org/officeDocument/2006/relationships/hyperlink" Target="https://drive.google.com/file/d/1rIkRyNVQQL6pwsk3h4XyzyiHZS92HsCC/view?usp=drive_link" TargetMode="External"/><Relationship Id="rId225" Type="http://schemas.openxmlformats.org/officeDocument/2006/relationships/hyperlink" Target="https://drive.google.com/file/d/10jucGeJcd-woX_wSglMNQ2J7ypDZjx0M/view?usp=drive_link" TargetMode="External"/><Relationship Id="rId346" Type="http://schemas.openxmlformats.org/officeDocument/2006/relationships/hyperlink" Target="https://drive.google.com/file/d/1PqJXBMAc53jFYhw5UqB8ZdyrWKu-8STZ/view?usp=drive_link" TargetMode="External"/><Relationship Id="rId467" Type="http://schemas.openxmlformats.org/officeDocument/2006/relationships/hyperlink" Target="https://drive.google.com/file/d/1eL0at6IVPl6ocUOiJ9FTfGlgHLdvAgyw/view?usp=drive_link" TargetMode="External"/><Relationship Id="rId588" Type="http://schemas.openxmlformats.org/officeDocument/2006/relationships/hyperlink" Target="https://drive.google.com/file/d/1hXv-a6aBxgQDNQzhMTEGXiBEv8M8IG5a/view?usp=drive_link" TargetMode="External"/><Relationship Id="rId109" Type="http://schemas.openxmlformats.org/officeDocument/2006/relationships/hyperlink" Target="https://drive.google.com/file/d/1o9DPtM-01QJrsmeKMlheLlYpZghc5ZZZ/view?usp=drive_link" TargetMode="External"/><Relationship Id="rId108" Type="http://schemas.openxmlformats.org/officeDocument/2006/relationships/hyperlink" Target="https://drive.google.com/file/d/1Q9dUc4tzB9sfHt_stYrl9t4kXN-slUAb/view?usp=drive_link" TargetMode="External"/><Relationship Id="rId229" Type="http://schemas.openxmlformats.org/officeDocument/2006/relationships/hyperlink" Target="https://drive.google.com/file/d/1y7hidEQ9yJnAAPkF2MGJI-irEbwn9ImB/view?usp=drive_link" TargetMode="External"/><Relationship Id="rId220" Type="http://schemas.openxmlformats.org/officeDocument/2006/relationships/hyperlink" Target="https://drive.google.com/file/d/1S-QgVacyNVOE1jpr8nSHVSGOk3MN8cER/view?usp=drive_link" TargetMode="External"/><Relationship Id="rId341" Type="http://schemas.openxmlformats.org/officeDocument/2006/relationships/hyperlink" Target="https://drive.google.com/file/d/1RX8B3e63LglPvUcT8k9z4skKaok-ItE_/view?usp=drive_link" TargetMode="External"/><Relationship Id="rId462" Type="http://schemas.openxmlformats.org/officeDocument/2006/relationships/hyperlink" Target="https://drive.google.com/file/d/1GADEZVtCVfEriAudxDR0yFV7BtaH3A5c/view?usp=drive_link" TargetMode="External"/><Relationship Id="rId583" Type="http://schemas.openxmlformats.org/officeDocument/2006/relationships/hyperlink" Target="https://drive.google.com/file/d/1p-eZ75VdMyes7M7GYif7XXOHHmGC-1Ng/view?usp=drive_link" TargetMode="External"/><Relationship Id="rId340" Type="http://schemas.openxmlformats.org/officeDocument/2006/relationships/hyperlink" Target="https://drive.google.com/file/d/1RX8B3e63LglPvUcT8k9z4skKaok-ItE_/view?usp=drive_link" TargetMode="External"/><Relationship Id="rId461" Type="http://schemas.openxmlformats.org/officeDocument/2006/relationships/hyperlink" Target="https://drive.google.com/file/d/1ASAGK03ViIYAjagUTFtYVRLGNajNpgm2/view?usp=drive_link" TargetMode="External"/><Relationship Id="rId582" Type="http://schemas.openxmlformats.org/officeDocument/2006/relationships/hyperlink" Target="https://drive.google.com/file/d/1LEgcsoqh_-yL77wx-FuQZbOEE3vh0YjF/view?usp=drive_link" TargetMode="External"/><Relationship Id="rId460" Type="http://schemas.openxmlformats.org/officeDocument/2006/relationships/hyperlink" Target="https://drive.google.com/file/d/1BIoBRARiSypgpkQps-Ma4XgD70x15JVC/view?usp=drive_link" TargetMode="External"/><Relationship Id="rId581" Type="http://schemas.openxmlformats.org/officeDocument/2006/relationships/hyperlink" Target="https://drive.google.com/file/d/1aOhuI6s-gIi4np5CDXSS0RLk--jqn-bc/view?usp=drive_link" TargetMode="External"/><Relationship Id="rId580" Type="http://schemas.openxmlformats.org/officeDocument/2006/relationships/hyperlink" Target="https://drive.google.com/file/d/1X60od412TeaGdRZh_9LY0ZtgjIKNGfNV/view?usp=drive_link" TargetMode="External"/><Relationship Id="rId103" Type="http://schemas.openxmlformats.org/officeDocument/2006/relationships/hyperlink" Target="https://drive.google.com/file/d/1yMAaums-ujyP9eCtMwg4PPG0CDgOAiPX/view?usp=drive_link" TargetMode="External"/><Relationship Id="rId224" Type="http://schemas.openxmlformats.org/officeDocument/2006/relationships/hyperlink" Target="https://drive.google.com/file/d/1lTgvjSaVFxwo68e7MPotR1wMszzBH925/view?usp=drive_link" TargetMode="External"/><Relationship Id="rId345" Type="http://schemas.openxmlformats.org/officeDocument/2006/relationships/hyperlink" Target="https://drive.google.com/file/d/1Ws_i1tmUrmPGgFBe3wzIHISGs__f7pKY/view?usp=drive_link" TargetMode="External"/><Relationship Id="rId466" Type="http://schemas.openxmlformats.org/officeDocument/2006/relationships/hyperlink" Target="https://drive.google.com/file/d/1b50hGkrdhmxEtlZpikm-DMYaq5vlEsRC/view?usp=drive_link" TargetMode="External"/><Relationship Id="rId587" Type="http://schemas.openxmlformats.org/officeDocument/2006/relationships/hyperlink" Target="https://drive.google.com/file/d/1jUHo1m6dvDlg21SQ5ChgU4KgRXbhmZwZ/view?usp=drive_link" TargetMode="External"/><Relationship Id="rId102" Type="http://schemas.openxmlformats.org/officeDocument/2006/relationships/hyperlink" Target="https://drive.google.com/file/d/1bU355MHYua9Nn2pzjAFvfybVmiVpdHGb/view?usp=drive_link" TargetMode="External"/><Relationship Id="rId223" Type="http://schemas.openxmlformats.org/officeDocument/2006/relationships/hyperlink" Target="https://drive.google.com/file/d/1e1E3AS0MVk20XwGSEHtXAQAwZxfdJAUd/view?usp=drive_link" TargetMode="External"/><Relationship Id="rId344" Type="http://schemas.openxmlformats.org/officeDocument/2006/relationships/hyperlink" Target="https://drive.google.com/file/d/1MSgWfUupyI-KFohHJNcnMlhiNJlcQiXm/view?usp=drive_link" TargetMode="External"/><Relationship Id="rId465" Type="http://schemas.openxmlformats.org/officeDocument/2006/relationships/hyperlink" Target="https://drive.google.com/file/d/1MgwnIWI1490AU28-1ZVQuIwmUCtpUNXY/view?usp=drive_link" TargetMode="External"/><Relationship Id="rId586" Type="http://schemas.openxmlformats.org/officeDocument/2006/relationships/hyperlink" Target="https://drive.google.com/file/d/1CFLpaoB0PJaAeJGaOVHg5hxHZGBUb9Yd/view?usp=drive_link" TargetMode="External"/><Relationship Id="rId101" Type="http://schemas.openxmlformats.org/officeDocument/2006/relationships/hyperlink" Target="https://drive.google.com/file/d/1_mVpCWtll4ZqhBOD48UIGbJFHwgsFKlZ/view?usp=drive_link" TargetMode="External"/><Relationship Id="rId222" Type="http://schemas.openxmlformats.org/officeDocument/2006/relationships/hyperlink" Target="https://drive.google.com/file/d/12ucI-zttOkHKgi6o4LIp77UMU44bbjCs/view?usp=drive_link" TargetMode="External"/><Relationship Id="rId343" Type="http://schemas.openxmlformats.org/officeDocument/2006/relationships/hyperlink" Target="https://drive.google.com/file/d/1l_MPWp9tXSaFqv6T3OsHXlhxbMGBZMYL/view?usp=drive_link" TargetMode="External"/><Relationship Id="rId464" Type="http://schemas.openxmlformats.org/officeDocument/2006/relationships/hyperlink" Target="https://drive.google.com/file/d/1wP5ZxkMKE8u7FTrYzGO8JR6armBR8Q1s/view?usp=drive_link" TargetMode="External"/><Relationship Id="rId585" Type="http://schemas.openxmlformats.org/officeDocument/2006/relationships/hyperlink" Target="https://drive.google.com/file/d/1OJidAbq09rqUkFsamljo1bmJJ97yCHE6/view?usp=drive_link" TargetMode="External"/><Relationship Id="rId100" Type="http://schemas.openxmlformats.org/officeDocument/2006/relationships/hyperlink" Target="https://drive.google.com/file/d/1PSJzN9xX0LxMfIfFdGVH_UoLf0F0e_Ov/view?usp=drive_link" TargetMode="External"/><Relationship Id="rId221" Type="http://schemas.openxmlformats.org/officeDocument/2006/relationships/hyperlink" Target="https://drive.google.com/file/d/1D_pTQqDhHQF_eOmmWhVt8JoGu3eyGFoz/view?usp=drive_link" TargetMode="External"/><Relationship Id="rId342" Type="http://schemas.openxmlformats.org/officeDocument/2006/relationships/hyperlink" Target="https://drive.google.com/file/d/1eEVWpu5Spk_y69yT03eFS06PnHIKLUYv/view?usp=drive_link" TargetMode="External"/><Relationship Id="rId463" Type="http://schemas.openxmlformats.org/officeDocument/2006/relationships/hyperlink" Target="https://drive.google.com/file/d/1MgwnIWI1490AU28-1ZVQuIwmUCtpUNXY/view?usp=drive_link" TargetMode="External"/><Relationship Id="rId584" Type="http://schemas.openxmlformats.org/officeDocument/2006/relationships/hyperlink" Target="https://drive.google.com/file/d/1CFLpaoB0PJaAeJGaOVHg5hxHZGBUb9Yd/view?usp=drive_link" TargetMode="External"/><Relationship Id="rId217" Type="http://schemas.openxmlformats.org/officeDocument/2006/relationships/hyperlink" Target="https://drive.google.com/file/d/1S-QgVacyNVOE1jpr8nSHVSGOk3MN8cER/view?usp=drive_link" TargetMode="External"/><Relationship Id="rId338" Type="http://schemas.openxmlformats.org/officeDocument/2006/relationships/hyperlink" Target="https://drive.google.com/file/d/19Th3Vh-iD3kNFW2SA6IyOAYN9ustwF2R/view?usp=drive_link" TargetMode="External"/><Relationship Id="rId459" Type="http://schemas.openxmlformats.org/officeDocument/2006/relationships/hyperlink" Target="https://drive.google.com/file/d/1zZEfMI0Eok3jo1Q973lOoIJKmmQTmKt0/view?usp=drive_link" TargetMode="External"/><Relationship Id="rId216" Type="http://schemas.openxmlformats.org/officeDocument/2006/relationships/hyperlink" Target="https://drive.google.com/file/d/1w9ZrmPU0B2-HqwYp_ajlJm2Otzdb6Fsl/view?usp=drive_link" TargetMode="External"/><Relationship Id="rId337" Type="http://schemas.openxmlformats.org/officeDocument/2006/relationships/hyperlink" Target="https://drive.google.com/file/d/1k-z-gTmEXVyFonX-KsSL-DbZbpDAXJRf/view?usp=drive_link" TargetMode="External"/><Relationship Id="rId458" Type="http://schemas.openxmlformats.org/officeDocument/2006/relationships/hyperlink" Target="https://drive.google.com/file/d/1hdiwhTAeKmHJo_JZvqNCRGBeTJ5b5-VO/view?usp=drive_link" TargetMode="External"/><Relationship Id="rId579" Type="http://schemas.openxmlformats.org/officeDocument/2006/relationships/hyperlink" Target="https://drive.google.com/file/d/1BtxfDhab1bh93mfy4INQf-MVSpNf06nm/view?usp=drive_link" TargetMode="External"/><Relationship Id="rId215" Type="http://schemas.openxmlformats.org/officeDocument/2006/relationships/hyperlink" Target="https://drive.google.com/file/d/1Om03gTINHM8OBoprjFGk7bA0wzPcPmuY/view?usp=drive_link" TargetMode="External"/><Relationship Id="rId336" Type="http://schemas.openxmlformats.org/officeDocument/2006/relationships/hyperlink" Target="https://drive.google.com/file/d/1xZGrLdhFdy-_vepTCxiriqqDhint1IxP/view?usp=drive_link" TargetMode="External"/><Relationship Id="rId457" Type="http://schemas.openxmlformats.org/officeDocument/2006/relationships/hyperlink" Target="https://drive.google.com/file/d/1O6a2cBlWixQm8xUV-Oc1Ia-P27ekqlL3/view?usp=drive_link" TargetMode="External"/><Relationship Id="rId578" Type="http://schemas.openxmlformats.org/officeDocument/2006/relationships/hyperlink" Target="https://drive.google.com/file/d/1TCraxseuqx-Y188y3eFbh7RGkbZelysJ/view?usp=drive_link" TargetMode="External"/><Relationship Id="rId214" Type="http://schemas.openxmlformats.org/officeDocument/2006/relationships/hyperlink" Target="https://drive.google.com/file/d/1S-QgVacyNVOE1jpr8nSHVSGOk3MN8cER/view?usp=drive_link" TargetMode="External"/><Relationship Id="rId335" Type="http://schemas.openxmlformats.org/officeDocument/2006/relationships/hyperlink" Target="https://drive.google.com/file/d/1k-z-gTmEXVyFonX-KsSL-DbZbpDAXJRf/view?usp=drive_link" TargetMode="External"/><Relationship Id="rId456" Type="http://schemas.openxmlformats.org/officeDocument/2006/relationships/hyperlink" Target="https://drive.google.com/file/d/1ItomMNeG3FBod8QOd2xziE-9dvMWLxrv/view?usp=drive_link" TargetMode="External"/><Relationship Id="rId577" Type="http://schemas.openxmlformats.org/officeDocument/2006/relationships/hyperlink" Target="https://drive.google.com/file/d/1eT0xlp11Rg2ueOvJLLOURvH0N6BONKZO/view?usp=drive_link" TargetMode="External"/><Relationship Id="rId219" Type="http://schemas.openxmlformats.org/officeDocument/2006/relationships/hyperlink" Target="https://drive.google.com/file/d/1FymA2hzSwSzltytyRZ-r-eHuaV--Be_W/view?usp=drive_link" TargetMode="External"/><Relationship Id="rId218" Type="http://schemas.openxmlformats.org/officeDocument/2006/relationships/hyperlink" Target="https://drive.google.com/file/d/1NWRUk9gmzZ290pNwckveScF0gKLHmAcL/view?usp=drive_link" TargetMode="External"/><Relationship Id="rId339" Type="http://schemas.openxmlformats.org/officeDocument/2006/relationships/hyperlink" Target="https://drive.google.com/file/d/1RX8B3e63LglPvUcT8k9z4skKaok-ItE_/view?usp=drive_link" TargetMode="External"/><Relationship Id="rId330" Type="http://schemas.openxmlformats.org/officeDocument/2006/relationships/hyperlink" Target="https://drive.google.com/file/d/1U0djUouwllhl5tr2_hE807VxYvvCAGWg/view?usp=drive_link" TargetMode="External"/><Relationship Id="rId451" Type="http://schemas.openxmlformats.org/officeDocument/2006/relationships/hyperlink" Target="https://drive.google.com/file/d/1Rl5qRhEMj-N7QIHQtcOK6oLNxprl7hRU/view?usp=drive_link" TargetMode="External"/><Relationship Id="rId572" Type="http://schemas.openxmlformats.org/officeDocument/2006/relationships/hyperlink" Target="https://drive.google.com/file/d/1lxDIppQdVwxz5aFrByHb92s1oKQWD9_K/view?usp=drive_link" TargetMode="External"/><Relationship Id="rId450" Type="http://schemas.openxmlformats.org/officeDocument/2006/relationships/hyperlink" Target="https://drive.google.com/file/d/1YRDKE6HvBoDSTRPxgIR0tTomx44rwvQQ/view?usp=drive_link" TargetMode="External"/><Relationship Id="rId571" Type="http://schemas.openxmlformats.org/officeDocument/2006/relationships/hyperlink" Target="https://drive.google.com/file/d/10Q8790UjJ3xq_rhHhXPS0nhc6frdy3p2/view?usp=drive_link" TargetMode="External"/><Relationship Id="rId570" Type="http://schemas.openxmlformats.org/officeDocument/2006/relationships/hyperlink" Target="https://drive.google.com/file/d/19Vn9IcC8qnXrLwT_ogE1TZWRw1Vfoftm/view?usp=drive_link" TargetMode="External"/><Relationship Id="rId213" Type="http://schemas.openxmlformats.org/officeDocument/2006/relationships/hyperlink" Target="https://drive.google.com/file/d/19_hf_JgSPCI7uEnVx8jYJ_VAUa_HRsh2/view?usp=drive_link" TargetMode="External"/><Relationship Id="rId334" Type="http://schemas.openxmlformats.org/officeDocument/2006/relationships/hyperlink" Target="https://drive.google.com/file/d/1tbUDQJgItNT0F-OKlOHTQDrQwnUj4PUF/view?usp=drive_link" TargetMode="External"/><Relationship Id="rId455" Type="http://schemas.openxmlformats.org/officeDocument/2006/relationships/hyperlink" Target="https://drive.google.com/file/d/1e2MUKg6YxLPP1UbJEKTYKmlQZSE-VYCM/view?usp=drive_link" TargetMode="External"/><Relationship Id="rId576" Type="http://schemas.openxmlformats.org/officeDocument/2006/relationships/hyperlink" Target="https://drive.google.com/file/d/1TRDbXX10gfjD5qngAR25ML6yogwHAiHx/view?usp=drive_link" TargetMode="External"/><Relationship Id="rId212" Type="http://schemas.openxmlformats.org/officeDocument/2006/relationships/hyperlink" Target="https://drive.google.com/file/d/1QUZUQh74g2ecc0ixo3NxoUqU6O97ymFN/view?usp=drive_link" TargetMode="External"/><Relationship Id="rId333" Type="http://schemas.openxmlformats.org/officeDocument/2006/relationships/hyperlink" Target="https://drive.google.com/file/d/1k-z-gTmEXVyFonX-KsSL-DbZbpDAXJRf/view?usp=drive_link" TargetMode="External"/><Relationship Id="rId454" Type="http://schemas.openxmlformats.org/officeDocument/2006/relationships/hyperlink" Target="https://drive.google.com/file/d/1os9ocernrP24L9SzU0M3U0vXYE7W7WFf/view?usp=drive_link" TargetMode="External"/><Relationship Id="rId575" Type="http://schemas.openxmlformats.org/officeDocument/2006/relationships/hyperlink" Target="https://drive.google.com/file/d/1BIoBRARiSypgpkQps-Ma4XgD70x15JVC/view?usp=drive_link" TargetMode="External"/><Relationship Id="rId211" Type="http://schemas.openxmlformats.org/officeDocument/2006/relationships/hyperlink" Target="https://drive.google.com/file/d/1LUT53L355ruvgGCZKv-Kj8twNe1mf7CO/view?usp=drive_link" TargetMode="External"/><Relationship Id="rId332" Type="http://schemas.openxmlformats.org/officeDocument/2006/relationships/hyperlink" Target="https://drive.google.com/file/d/1eAFE6SJ5OjqqrfdxRj2Q4ynPuioJdkGa/view?usp=drive_link" TargetMode="External"/><Relationship Id="rId453" Type="http://schemas.openxmlformats.org/officeDocument/2006/relationships/hyperlink" Target="https://drive.google.com/file/d/115E6XnVBs497GaqgklscZT1FYgYiheTk/view?usp=drive_link" TargetMode="External"/><Relationship Id="rId574" Type="http://schemas.openxmlformats.org/officeDocument/2006/relationships/hyperlink" Target="https://drive.google.com/file/d/1SHwsYfy9bR8aTx5yDWoKS2obhKhECjTc/view?usp=drive_link" TargetMode="External"/><Relationship Id="rId210" Type="http://schemas.openxmlformats.org/officeDocument/2006/relationships/hyperlink" Target="https://drive.google.com/file/d/1NEBtBI94B4sAlyFOCT4-RlqQv64yk9xr/view?usp=drive_link" TargetMode="External"/><Relationship Id="rId331" Type="http://schemas.openxmlformats.org/officeDocument/2006/relationships/hyperlink" Target="https://drive.google.com/file/d/12MePa2m0QoZfFlCdSL3H3JJQH_eMI2Iq/view?usp=drive_link" TargetMode="External"/><Relationship Id="rId452" Type="http://schemas.openxmlformats.org/officeDocument/2006/relationships/hyperlink" Target="https://drive.google.com/file/d/1zWdadJuRqwgvIFEHedYwN7SH9riBLHTj/view?usp=drive_link" TargetMode="External"/><Relationship Id="rId573" Type="http://schemas.openxmlformats.org/officeDocument/2006/relationships/hyperlink" Target="https://drive.google.com/file/d/19Vn9IcC8qnXrLwT_ogE1TZWRw1Vfoftm/view?usp=drive_link" TargetMode="External"/><Relationship Id="rId370" Type="http://schemas.openxmlformats.org/officeDocument/2006/relationships/hyperlink" Target="https://drive.google.com/file/d/14V6Mn-o3Wit3ymdeq51NU530WoMvEEDc/view?usp=drive_link" TargetMode="External"/><Relationship Id="rId491" Type="http://schemas.openxmlformats.org/officeDocument/2006/relationships/hyperlink" Target="https://drive.google.com/file/d/1Ek9cxKepvCczDrNP8PH42fAGX6dTugka/view?usp=drive_link" TargetMode="External"/><Relationship Id="rId490" Type="http://schemas.openxmlformats.org/officeDocument/2006/relationships/hyperlink" Target="https://drive.google.com/file/d/1NUN_t3ObgQBmH8kElzHGCPzBQKK5mS7f/view?usp=drive_link" TargetMode="External"/><Relationship Id="rId129" Type="http://schemas.openxmlformats.org/officeDocument/2006/relationships/hyperlink" Target="https://drive.google.com/file/d/1gjO8Cs9ScFoRTYunvCWGnsCnCgLqqB84/view?usp=drive_link" TargetMode="External"/><Relationship Id="rId128" Type="http://schemas.openxmlformats.org/officeDocument/2006/relationships/hyperlink" Target="https://drive.google.com/file/d/15nG56z-aozeeBKFbnGAViWnZr3F_pISn/view?usp=drive_link" TargetMode="External"/><Relationship Id="rId249" Type="http://schemas.openxmlformats.org/officeDocument/2006/relationships/hyperlink" Target="https://drive.google.com/file/d/10f-87NdZx5vZ3YFrPkdT0sRHmzc9AjC5/view?usp=drive_link" TargetMode="External"/><Relationship Id="rId127" Type="http://schemas.openxmlformats.org/officeDocument/2006/relationships/hyperlink" Target="https://drive.google.com/file/d/1717R93VvXT45CG4gSBtew03QiLeXNfLg/view?usp=drive_link" TargetMode="External"/><Relationship Id="rId248" Type="http://schemas.openxmlformats.org/officeDocument/2006/relationships/hyperlink" Target="https://drive.google.com/file/d/1yokOFlQPwQRRxrGGqqACBJ6L6jMBt-m6/view?usp=drive_link" TargetMode="External"/><Relationship Id="rId369" Type="http://schemas.openxmlformats.org/officeDocument/2006/relationships/hyperlink" Target="https://drive.google.com/file/d/1e-pa-XdzX4J0UHY91zXpMOqgJ3cUkFKC/view?usp=drive_link" TargetMode="External"/><Relationship Id="rId126" Type="http://schemas.openxmlformats.org/officeDocument/2006/relationships/hyperlink" Target="https://drive.google.com/file/d/1EIn-bZ58ecaj6PqGbd7S7RNDR9lex35e/view?usp=drive_link" TargetMode="External"/><Relationship Id="rId247" Type="http://schemas.openxmlformats.org/officeDocument/2006/relationships/hyperlink" Target="https://drive.google.com/file/d/1gsPHq5F4VO6itk-cr56w6Lv47eBKU4D5/view?usp=drive_link" TargetMode="External"/><Relationship Id="rId368" Type="http://schemas.openxmlformats.org/officeDocument/2006/relationships/hyperlink" Target="https://drive.google.com/file/d/1e-pa-XdzX4J0UHY91zXpMOqgJ3cUkFKC/view?usp=drive_link" TargetMode="External"/><Relationship Id="rId489" Type="http://schemas.openxmlformats.org/officeDocument/2006/relationships/hyperlink" Target="https://drive.google.com/file/d/1-pMljSqnc1WeG8BQNXm95kPFINHOo3m6/view?usp=drive_link" TargetMode="External"/><Relationship Id="rId121" Type="http://schemas.openxmlformats.org/officeDocument/2006/relationships/hyperlink" Target="https://drive.google.com/file/d/1717R93VvXT45CG4gSBtew03QiLeXNfLg/view?usp=drive_link" TargetMode="External"/><Relationship Id="rId242" Type="http://schemas.openxmlformats.org/officeDocument/2006/relationships/hyperlink" Target="https://drive.google.com/file/d/1yokOFlQPwQRRxrGGqqACBJ6L6jMBt-m6/view?usp=drive_link" TargetMode="External"/><Relationship Id="rId363" Type="http://schemas.openxmlformats.org/officeDocument/2006/relationships/hyperlink" Target="https://drive.google.com/file/d/1wKAJC6lJfqsHjC91FvFZS1vLY4Jxdz1x/view?usp=drive_link" TargetMode="External"/><Relationship Id="rId484" Type="http://schemas.openxmlformats.org/officeDocument/2006/relationships/hyperlink" Target="https://drive.google.com/file/d/1SaZIAkfWnWOHpRbFKy2tcEqVyhXr4A6K/view?usp=drive_link" TargetMode="External"/><Relationship Id="rId120" Type="http://schemas.openxmlformats.org/officeDocument/2006/relationships/hyperlink" Target="https://drive.google.com/file/d/1FAfXdDqGTGueT6BnU3guUGJOewZALd-j/view?usp=drive_link" TargetMode="External"/><Relationship Id="rId241" Type="http://schemas.openxmlformats.org/officeDocument/2006/relationships/hyperlink" Target="https://drive.google.com/file/d/1RZpeQ5gJGiERcDC3sZQfmObm66lJ80zY/view?usp=drive_link" TargetMode="External"/><Relationship Id="rId362" Type="http://schemas.openxmlformats.org/officeDocument/2006/relationships/hyperlink" Target="https://drive.google.com/file/d/1Q03BziuOly42fqkNstDXtAHdy4DYGUo8/view?usp=drive_link" TargetMode="External"/><Relationship Id="rId483" Type="http://schemas.openxmlformats.org/officeDocument/2006/relationships/hyperlink" Target="https://drive.google.com/file/d/1IT7FEKI8lYSHkin1_MfiNeenunrCVmuR/view?usp=drive_link" TargetMode="External"/><Relationship Id="rId240" Type="http://schemas.openxmlformats.org/officeDocument/2006/relationships/hyperlink" Target="https://drive.google.com/file/d/1yokOFlQPwQRRxrGGqqACBJ6L6jMBt-m6/view?usp=drive_link" TargetMode="External"/><Relationship Id="rId361" Type="http://schemas.openxmlformats.org/officeDocument/2006/relationships/hyperlink" Target="https://drive.google.com/file/d/1ZxEDK6SrbQdQq-zVSGCsa59scFSivmfh/view?usp=drive_link" TargetMode="External"/><Relationship Id="rId482" Type="http://schemas.openxmlformats.org/officeDocument/2006/relationships/hyperlink" Target="https://drive.google.com/file/d/1hxfMXYtOb_LnNfKI_peFotDlDDpQX2-m/view?usp=drive_link" TargetMode="External"/><Relationship Id="rId360" Type="http://schemas.openxmlformats.org/officeDocument/2006/relationships/hyperlink" Target="https://drive.google.com/file/d/1xH3AylJapZXJR4WZJL6EZDoq1GBX_M9e/view?usp=drive_link" TargetMode="External"/><Relationship Id="rId481" Type="http://schemas.openxmlformats.org/officeDocument/2006/relationships/hyperlink" Target="https://drive.google.com/file/d/1kjejwtHqBhAQwcKF8qgehLibzS8VqQfO/view?usp=drive_link" TargetMode="External"/><Relationship Id="rId125" Type="http://schemas.openxmlformats.org/officeDocument/2006/relationships/hyperlink" Target="https://drive.google.com/file/d/1717R93VvXT45CG4gSBtew03QiLeXNfLg/view?usp=drive_link" TargetMode="External"/><Relationship Id="rId246" Type="http://schemas.openxmlformats.org/officeDocument/2006/relationships/hyperlink" Target="https://drive.google.com/file/d/1yokOFlQPwQRRxrGGqqACBJ6L6jMBt-m6/view?usp=drive_link" TargetMode="External"/><Relationship Id="rId367" Type="http://schemas.openxmlformats.org/officeDocument/2006/relationships/hyperlink" Target="https://drive.google.com/file/d/1reBQ6JdPHbmYWkysbdGf3BE5Ozd-tGiR/view?usp=drive_link" TargetMode="External"/><Relationship Id="rId488" Type="http://schemas.openxmlformats.org/officeDocument/2006/relationships/hyperlink" Target="https://drive.google.com/file/d/11hfxvRWvaYarJk2qnFnphwKfuUtLT6Wu/view?usp=drive_link" TargetMode="External"/><Relationship Id="rId124" Type="http://schemas.openxmlformats.org/officeDocument/2006/relationships/hyperlink" Target="https://drive.google.com/file/d/1C6aomyMQTteKr01gMsq48fNRPX2q72_5/view?usp=drive_link" TargetMode="External"/><Relationship Id="rId245" Type="http://schemas.openxmlformats.org/officeDocument/2006/relationships/hyperlink" Target="https://drive.google.com/file/d/1Xbh-n2B1CAIaiI8862_4rCsmViMzOw-u/view?usp=drive_link" TargetMode="External"/><Relationship Id="rId366" Type="http://schemas.openxmlformats.org/officeDocument/2006/relationships/hyperlink" Target="https://drive.google.com/file/d/1ZxEDK6SrbQdQq-zVSGCsa59scFSivmfh/view?usp=drive_link" TargetMode="External"/><Relationship Id="rId487" Type="http://schemas.openxmlformats.org/officeDocument/2006/relationships/hyperlink" Target="https://drive.google.com/file/d/1AcMRvE5BQfiMa-G-Kw6MFbggF9uYi_5k/view?usp=drive_link" TargetMode="External"/><Relationship Id="rId123" Type="http://schemas.openxmlformats.org/officeDocument/2006/relationships/hyperlink" Target="https://drive.google.com/file/d/1717R93VvXT45CG4gSBtew03QiLeXNfLg/view?usp=drive_link" TargetMode="External"/><Relationship Id="rId244" Type="http://schemas.openxmlformats.org/officeDocument/2006/relationships/hyperlink" Target="https://drive.google.com/file/d/1yokOFlQPwQRRxrGGqqACBJ6L6jMBt-m6/view?usp=drive_link" TargetMode="External"/><Relationship Id="rId365" Type="http://schemas.openxmlformats.org/officeDocument/2006/relationships/hyperlink" Target="https://drive.google.com/file/d/1R-n3HYo6vqkZaJqGsJppHxfaGGFd-MVq/view?usp=drive_link" TargetMode="External"/><Relationship Id="rId486" Type="http://schemas.openxmlformats.org/officeDocument/2006/relationships/hyperlink" Target="https://drive.google.com/file/d/1ib3I_hYzTxjsA8Ee7xOypB_tivGqMbDM/view?usp=drive_link" TargetMode="External"/><Relationship Id="rId122" Type="http://schemas.openxmlformats.org/officeDocument/2006/relationships/hyperlink" Target="https://drive.google.com/file/d/1zLQ0rYGHYIK3nt04hLVAX1VSXUmhDXSu/view?usp=drive_link" TargetMode="External"/><Relationship Id="rId243" Type="http://schemas.openxmlformats.org/officeDocument/2006/relationships/hyperlink" Target="https://drive.google.com/file/d/1iLev78M4kmLEhZigh91gMyFq8MP29_E5/view?usp=drive_link" TargetMode="External"/><Relationship Id="rId364" Type="http://schemas.openxmlformats.org/officeDocument/2006/relationships/hyperlink" Target="https://drive.google.com/file/d/1ZxEDK6SrbQdQq-zVSGCsa59scFSivmfh/view?usp=drive_link" TargetMode="External"/><Relationship Id="rId485" Type="http://schemas.openxmlformats.org/officeDocument/2006/relationships/hyperlink" Target="https://drive.google.com/file/d/1pbetDTAz4mvSRgJbKc_Hvog-OwfbdgAt/view?usp=drive_link" TargetMode="External"/><Relationship Id="rId95" Type="http://schemas.openxmlformats.org/officeDocument/2006/relationships/hyperlink" Target="https://drive.google.com/file/d/1_mVpCWtll4ZqhBOD48UIGbJFHwgsFKlZ/view?usp=drive_link" TargetMode="External"/><Relationship Id="rId94" Type="http://schemas.openxmlformats.org/officeDocument/2006/relationships/hyperlink" Target="https://drive.google.com/file/d/1-gVj3QJGO4Jx94RNJxpisPX1f_lnz7Tu/view?usp=drive_link" TargetMode="External"/><Relationship Id="rId97" Type="http://schemas.openxmlformats.org/officeDocument/2006/relationships/hyperlink" Target="https://drive.google.com/file/d/1_mVpCWtll4ZqhBOD48UIGbJFHwgsFKlZ/view?usp=drive_link" TargetMode="External"/><Relationship Id="rId96" Type="http://schemas.openxmlformats.org/officeDocument/2006/relationships/hyperlink" Target="https://drive.google.com/file/d/1klW-IqJLZDLY8lvPVFkrCSAwGk5yXydk/view?usp=drive_link" TargetMode="External"/><Relationship Id="rId99" Type="http://schemas.openxmlformats.org/officeDocument/2006/relationships/hyperlink" Target="https://drive.google.com/file/d/1_mVpCWtll4ZqhBOD48UIGbJFHwgsFKlZ/view?usp=drive_link" TargetMode="External"/><Relationship Id="rId480" Type="http://schemas.openxmlformats.org/officeDocument/2006/relationships/hyperlink" Target="https://drive.google.com/file/d/1ZK5klRLxgrTKQKOqUSNKaNHYrmu5NU4U/view?usp=drive_link" TargetMode="External"/><Relationship Id="rId98" Type="http://schemas.openxmlformats.org/officeDocument/2006/relationships/hyperlink" Target="https://drive.google.com/file/d/1XA_PQrfQkoXEyLOx_vD-2CMCSUQEX4x4/view?usp=drive_link" TargetMode="External"/><Relationship Id="rId91" Type="http://schemas.openxmlformats.org/officeDocument/2006/relationships/hyperlink" Target="https://drive.google.com/file/d/1_mVpCWtll4ZqhBOD48UIGbJFHwgsFKlZ/view?usp=drive_link" TargetMode="External"/><Relationship Id="rId90" Type="http://schemas.openxmlformats.org/officeDocument/2006/relationships/hyperlink" Target="https://drive.google.com/file/d/1gHiJ8xnaNYsXSjIt8yAtE1ZqLByzqTko/view?usp=drive_link" TargetMode="External"/><Relationship Id="rId93" Type="http://schemas.openxmlformats.org/officeDocument/2006/relationships/hyperlink" Target="https://drive.google.com/file/d/1_mVpCWtll4ZqhBOD48UIGbJFHwgsFKlZ/view?usp=drive_link" TargetMode="External"/><Relationship Id="rId92" Type="http://schemas.openxmlformats.org/officeDocument/2006/relationships/hyperlink" Target="https://drive.google.com/file/d/1UbdiaPj8FGNMXuOSdEBki_Dsmzm9-Fvy/view?usp=drive_link" TargetMode="External"/><Relationship Id="rId118" Type="http://schemas.openxmlformats.org/officeDocument/2006/relationships/hyperlink" Target="https://drive.google.com/file/d/1X9rhWrNNHeakCdto61JKItI4YrVY1ybn/view?usp=drive_link" TargetMode="External"/><Relationship Id="rId239" Type="http://schemas.openxmlformats.org/officeDocument/2006/relationships/hyperlink" Target="https://drive.google.com/file/d/1Jg3mIQtyYHCrIkflweSqAWs-hZVoNIZ8/view?usp=drive_link" TargetMode="External"/><Relationship Id="rId117" Type="http://schemas.openxmlformats.org/officeDocument/2006/relationships/hyperlink" Target="https://drive.google.com/file/d/1mtGceB1x02d5N_peUStW1Zk4ig79wwHm/view?usp=drive_link" TargetMode="External"/><Relationship Id="rId238" Type="http://schemas.openxmlformats.org/officeDocument/2006/relationships/hyperlink" Target="https://drive.google.com/file/d/1yokOFlQPwQRRxrGGqqACBJ6L6jMBt-m6/view?usp=drive_link" TargetMode="External"/><Relationship Id="rId359" Type="http://schemas.openxmlformats.org/officeDocument/2006/relationships/hyperlink" Target="https://drive.google.com/file/d/1aowA9XNm4RoIN-kVXbhE2p69QKIwQz6f/view?usp=drive_link" TargetMode="External"/><Relationship Id="rId116" Type="http://schemas.openxmlformats.org/officeDocument/2006/relationships/hyperlink" Target="https://drive.google.com/file/d/1CDDsmT6z4e5cxng7rMKHKpQCpbeeZYFc/view?usp=drive_link" TargetMode="External"/><Relationship Id="rId237" Type="http://schemas.openxmlformats.org/officeDocument/2006/relationships/hyperlink" Target="https://drive.google.com/file/d/1vrlYfGBXwXuJVAiw5uvRKrWtguFRlvRR/view?usp=drive_link" TargetMode="External"/><Relationship Id="rId358" Type="http://schemas.openxmlformats.org/officeDocument/2006/relationships/hyperlink" Target="https://drive.google.com/file/d/1ZxEDK6SrbQdQq-zVSGCsa59scFSivmfh/view?usp=drive_link" TargetMode="External"/><Relationship Id="rId479" Type="http://schemas.openxmlformats.org/officeDocument/2006/relationships/hyperlink" Target="https://drive.google.com/file/d/1ff_umjPqWa8yfebBuE1CX-0aYGdX5JUj/view?usp=drive_link" TargetMode="External"/><Relationship Id="rId115" Type="http://schemas.openxmlformats.org/officeDocument/2006/relationships/hyperlink" Target="https://drive.google.com/file/d/1mtGceB1x02d5N_peUStW1Zk4ig79wwHm/view?usp=drive_link" TargetMode="External"/><Relationship Id="rId236" Type="http://schemas.openxmlformats.org/officeDocument/2006/relationships/hyperlink" Target="https://drive.google.com/file/d/1iPpjKsbKlBNarAqWVCL3Tf9qBdS1h5bO/view?usp=drive_link" TargetMode="External"/><Relationship Id="rId357" Type="http://schemas.openxmlformats.org/officeDocument/2006/relationships/hyperlink" Target="https://drive.google.com/file/d/1uMgxfEbXftTBdfJG_XO4JcVwAyIcSYfy/view?usp=drive_link" TargetMode="External"/><Relationship Id="rId478" Type="http://schemas.openxmlformats.org/officeDocument/2006/relationships/hyperlink" Target="https://drive.google.com/file/d/1iWQfbo7RLJxt46FsG8W4paF29EJGlGTb/view?usp=drive_link" TargetMode="External"/><Relationship Id="rId599" Type="http://schemas.openxmlformats.org/officeDocument/2006/relationships/hyperlink" Target="https://drive.google.com/file/d/16Z-vF6AI9YS1EW24q3l4Bjnb1MmzCMhp/view?usp=drive_link" TargetMode="External"/><Relationship Id="rId119" Type="http://schemas.openxmlformats.org/officeDocument/2006/relationships/hyperlink" Target="https://drive.google.com/file/d/1mtGceB1x02d5N_peUStW1Zk4ig79wwHm/view?usp=drive_link" TargetMode="External"/><Relationship Id="rId110" Type="http://schemas.openxmlformats.org/officeDocument/2006/relationships/hyperlink" Target="https://drive.google.com/file/d/1HQhDBnoUjWot4UdooEETXKuJp3clpxlx/view?usp=drive_link" TargetMode="External"/><Relationship Id="rId231" Type="http://schemas.openxmlformats.org/officeDocument/2006/relationships/hyperlink" Target="https://drive.google.com/file/d/1x1m7qMsVInJtj54Vd3er_UadO6irOh9k/view?usp=drive_link" TargetMode="External"/><Relationship Id="rId352" Type="http://schemas.openxmlformats.org/officeDocument/2006/relationships/hyperlink" Target="https://drive.google.com/file/d/1oQjfsIs1lFcK5vuukddec9O51zGqSGR8/view?usp=drive_link" TargetMode="External"/><Relationship Id="rId473" Type="http://schemas.openxmlformats.org/officeDocument/2006/relationships/hyperlink" Target="https://drive.google.com/file/d/1_Bwvp-ot64jvXRC6vZ4jFjpAfzO-dagK/view?usp=drive_link" TargetMode="External"/><Relationship Id="rId594" Type="http://schemas.openxmlformats.org/officeDocument/2006/relationships/hyperlink" Target="https://drive.google.com/file/d/1lCUSULpjW6HKGkk-y10CbRJAiy8AiwLD/view?usp=drive_link" TargetMode="External"/><Relationship Id="rId230" Type="http://schemas.openxmlformats.org/officeDocument/2006/relationships/hyperlink" Target="https://drive.google.com/file/d/10jucGeJcd-woX_wSglMNQ2J7ypDZjx0M/view?usp=drive_link" TargetMode="External"/><Relationship Id="rId351" Type="http://schemas.openxmlformats.org/officeDocument/2006/relationships/hyperlink" Target="https://drive.google.com/file/d/1ELoWwQ9T0rYrp0lZvcqCKRYMVEyo52dw/view?usp=drive_link" TargetMode="External"/><Relationship Id="rId472" Type="http://schemas.openxmlformats.org/officeDocument/2006/relationships/hyperlink" Target="https://drive.google.com/file/d/1x8F57Njy8V0hS2zdjCyTiqbf0Dv-41Xu/view?usp=drive_link" TargetMode="External"/><Relationship Id="rId593" Type="http://schemas.openxmlformats.org/officeDocument/2006/relationships/hyperlink" Target="https://drive.google.com/file/d/1_G3W8e7AUkhPBwiuG98ygHzTWCpsz9m8/view?usp=drive_link" TargetMode="External"/><Relationship Id="rId350" Type="http://schemas.openxmlformats.org/officeDocument/2006/relationships/hyperlink" Target="https://drive.google.com/file/d/1vLoFA6AW_UgNyANM-cpdHClLxVxWmXPM/view?usp=drive_link" TargetMode="External"/><Relationship Id="rId471" Type="http://schemas.openxmlformats.org/officeDocument/2006/relationships/hyperlink" Target="https://drive.google.com/file/d/1spNgB1NaQNEVZw2CKEYlX-lEl806tmXY/view?usp=drive_link" TargetMode="External"/><Relationship Id="rId592" Type="http://schemas.openxmlformats.org/officeDocument/2006/relationships/hyperlink" Target="https://drive.google.com/file/d/1fPd8cMq9qeE8_XhAAHbJcedrKqckfpgo/view?usp=drive_link" TargetMode="External"/><Relationship Id="rId470" Type="http://schemas.openxmlformats.org/officeDocument/2006/relationships/hyperlink" Target="https://drive.google.com/file/d/19nkX-QKbUSqFiOWMPIFwaEd4U8hx5bjU/view?usp=drive_link" TargetMode="External"/><Relationship Id="rId591" Type="http://schemas.openxmlformats.org/officeDocument/2006/relationships/hyperlink" Target="https://drive.google.com/file/d/1jbjrs1XW_hTNe2VnoGEtivMwA53p6bO2/view?usp=drive_link" TargetMode="External"/><Relationship Id="rId114" Type="http://schemas.openxmlformats.org/officeDocument/2006/relationships/hyperlink" Target="https://drive.google.com/file/d/14K9W9iNGI6jM-WK6A2X-u5p4ClIL3OCP/view?usp=drive_link" TargetMode="External"/><Relationship Id="rId235" Type="http://schemas.openxmlformats.org/officeDocument/2006/relationships/hyperlink" Target="https://drive.google.com/file/d/1vFUwjFWgnUFivj4VxlSVcWnhU-UE3m-r/view?usp=drive_link" TargetMode="External"/><Relationship Id="rId356" Type="http://schemas.openxmlformats.org/officeDocument/2006/relationships/hyperlink" Target="https://drive.google.com/file/d/1fUfmR2-Pe2M8-Pm0Di4KLS3dcpmryZje/view?usp=drive_link" TargetMode="External"/><Relationship Id="rId477" Type="http://schemas.openxmlformats.org/officeDocument/2006/relationships/hyperlink" Target="https://drive.google.com/file/d/1RJhoV3bzFxDn-QO6kKl1tI8W_btVcca5/view?usp=drive_link" TargetMode="External"/><Relationship Id="rId598" Type="http://schemas.openxmlformats.org/officeDocument/2006/relationships/hyperlink" Target="https://drive.google.com/file/d/1czqbr19N1xwyCXV8uUbXO5S8YpqH9b1T/view?usp=drive_link" TargetMode="External"/><Relationship Id="rId113" Type="http://schemas.openxmlformats.org/officeDocument/2006/relationships/hyperlink" Target="https://drive.google.com/file/d/1-tDc9AWGlPRZ-Gd9HwG9WCXKF7Q201Av/view?usp=drive_link" TargetMode="External"/><Relationship Id="rId234" Type="http://schemas.openxmlformats.org/officeDocument/2006/relationships/hyperlink" Target="https://drive.google.com/file/d/1NAHEbfLRKXQZAcyLgInONUc-DYpEAGdi/view?usp=drive_link" TargetMode="External"/><Relationship Id="rId355" Type="http://schemas.openxmlformats.org/officeDocument/2006/relationships/hyperlink" Target="https://drive.google.com/file/d/1mlXOAdHcQLMBKCJDxeguoy7tk-0u6UaI/view?usp=drive_link" TargetMode="External"/><Relationship Id="rId476" Type="http://schemas.openxmlformats.org/officeDocument/2006/relationships/hyperlink" Target="https://drive.google.com/file/d/1vrdaO9-Y7pByk9iDsdjVfW66gg-RPskT/view?usp=drive_link" TargetMode="External"/><Relationship Id="rId597" Type="http://schemas.openxmlformats.org/officeDocument/2006/relationships/hyperlink" Target="https://drive.google.com/file/d/1lCUSULpjW6HKGkk-y10CbRJAiy8AiwLD/view?usp=drive_link" TargetMode="External"/><Relationship Id="rId112" Type="http://schemas.openxmlformats.org/officeDocument/2006/relationships/hyperlink" Target="https://drive.google.com/file/d/1CCGrN2mqQKGkXKW8cEbLkTqOnckd_l2C/view?usp=drive_link" TargetMode="External"/><Relationship Id="rId233" Type="http://schemas.openxmlformats.org/officeDocument/2006/relationships/hyperlink" Target="https://drive.google.com/file/d/1JMAzECNux342YwXi_pgT3z3mZCl_xNOQ/view?usp=drive_link" TargetMode="External"/><Relationship Id="rId354" Type="http://schemas.openxmlformats.org/officeDocument/2006/relationships/hyperlink" Target="https://drive.google.com/file/d/1pbetDTAz4mvSRgJbKc_Hvog-OwfbdgAt/view?usp=drive_link" TargetMode="External"/><Relationship Id="rId475" Type="http://schemas.openxmlformats.org/officeDocument/2006/relationships/hyperlink" Target="https://drive.google.com/file/d/1br4ahRSCWaiNJwdIVmhBcctYSMjiY_wo/view?usp=drive_link" TargetMode="External"/><Relationship Id="rId596" Type="http://schemas.openxmlformats.org/officeDocument/2006/relationships/hyperlink" Target="https://drive.google.com/file/d/18crg_POr6UxiVwZckKDkzDBZx5ca_JaV/view?usp=drive_link" TargetMode="External"/><Relationship Id="rId111" Type="http://schemas.openxmlformats.org/officeDocument/2006/relationships/hyperlink" Target="https://drive.google.com/file/d/1H_9_TXGEVpaqYkDYHatquyEymBzge6F4/view?usp=drive_link" TargetMode="External"/><Relationship Id="rId232" Type="http://schemas.openxmlformats.org/officeDocument/2006/relationships/hyperlink" Target="https://drive.google.com/file/d/1A24Rm7g_mr9Nmjt07aBMMqzalmdjeYuI/view?usp=drive_link" TargetMode="External"/><Relationship Id="rId353" Type="http://schemas.openxmlformats.org/officeDocument/2006/relationships/hyperlink" Target="https://drive.google.com/file/d/1ddKWJ4K2lGPhkBRBE63DOOrEGFVLv2Z5/view?usp=drive_link" TargetMode="External"/><Relationship Id="rId474" Type="http://schemas.openxmlformats.org/officeDocument/2006/relationships/hyperlink" Target="https://drive.google.com/file/d/1ptHZnJ66M4KSO82U4uLfjnoCk6kj9Sg6/view?usp=drive_link" TargetMode="External"/><Relationship Id="rId595" Type="http://schemas.openxmlformats.org/officeDocument/2006/relationships/hyperlink" Target="https://drive.google.com/file/d/1-FjzRt1Ai1x4-DQydqUHDf2ydF2haM80/view?usp=drive_link" TargetMode="External"/><Relationship Id="rId305" Type="http://schemas.openxmlformats.org/officeDocument/2006/relationships/hyperlink" Target="https://drive.google.com/file/d/1yokOFlQPwQRRxrGGqqACBJ6L6jMBt-m6/view?usp=drive_link" TargetMode="External"/><Relationship Id="rId426" Type="http://schemas.openxmlformats.org/officeDocument/2006/relationships/hyperlink" Target="https://drive.google.com/file/d/1BIoBRARiSypgpkQps-Ma4XgD70x15JVC/view?usp=drive_link" TargetMode="External"/><Relationship Id="rId547" Type="http://schemas.openxmlformats.org/officeDocument/2006/relationships/hyperlink" Target="https://drive.google.com/file/d/18IFt6BL6J2yk6omtSgPIAl-bd5BQ6oXa/view?usp=drive_link" TargetMode="External"/><Relationship Id="rId668" Type="http://schemas.openxmlformats.org/officeDocument/2006/relationships/hyperlink" Target="https://drive.google.com/file/d/1YemdNlJz-zNOOhXv-U0twszaI_lJpuHN/view?usp=drive_link" TargetMode="External"/><Relationship Id="rId304" Type="http://schemas.openxmlformats.org/officeDocument/2006/relationships/hyperlink" Target="https://drive.google.com/file/d/1-nuRV4glbFmXxBORyPpPEcQuxeaUm500/view?usp=drive_link" TargetMode="External"/><Relationship Id="rId425" Type="http://schemas.openxmlformats.org/officeDocument/2006/relationships/hyperlink" Target="https://drive.google.com/file/d/1HbMYBDZa4k6mAqzg7TUp0bJiM3C3zAsV/view?usp=drive_link" TargetMode="External"/><Relationship Id="rId546" Type="http://schemas.openxmlformats.org/officeDocument/2006/relationships/hyperlink" Target="https://drive.google.com/file/d/1CtibVFAXcoLdmpCOYFwobKolG4pqiMIa/view?usp=drive_link" TargetMode="External"/><Relationship Id="rId667" Type="http://schemas.openxmlformats.org/officeDocument/2006/relationships/hyperlink" Target="https://drive.google.com/file/d/1HkL8yltlQfTv7x74GCEEwzzpdmL5A4fq/view?usp=drive_link" TargetMode="External"/><Relationship Id="rId303" Type="http://schemas.openxmlformats.org/officeDocument/2006/relationships/hyperlink" Target="https://drive.google.com/file/d/1yokOFlQPwQRRxrGGqqACBJ6L6jMBt-m6/view?usp=drive_link" TargetMode="External"/><Relationship Id="rId424" Type="http://schemas.openxmlformats.org/officeDocument/2006/relationships/hyperlink" Target="https://drive.google.com/file/d/1BIoBRARiSypgpkQps-Ma4XgD70x15JVC/view?usp=drive_link" TargetMode="External"/><Relationship Id="rId545" Type="http://schemas.openxmlformats.org/officeDocument/2006/relationships/hyperlink" Target="https://drive.google.com/file/d/1Yjl1W4My4zv6qyJcBsbi4KaWOpsSJxqC/view?usp=drive_link" TargetMode="External"/><Relationship Id="rId666" Type="http://schemas.openxmlformats.org/officeDocument/2006/relationships/hyperlink" Target="https://drive.google.com/file/d/1TfWUd7OkgKt3Z-HyyfESOV3ttUEFngaX/view?usp=drive_link" TargetMode="External"/><Relationship Id="rId302" Type="http://schemas.openxmlformats.org/officeDocument/2006/relationships/hyperlink" Target="https://drive.google.com/file/d/1-nuRV4glbFmXxBORyPpPEcQuxeaUm500/view?usp=drive_link" TargetMode="External"/><Relationship Id="rId423" Type="http://schemas.openxmlformats.org/officeDocument/2006/relationships/hyperlink" Target="https://drive.google.com/file/d/1AjyYUAUr8tqic0E6b2BIXxFrc_y3On8D/view?usp=drive_link" TargetMode="External"/><Relationship Id="rId544" Type="http://schemas.openxmlformats.org/officeDocument/2006/relationships/hyperlink" Target="https://drive.google.com/file/d/1CtibVFAXcoLdmpCOYFwobKolG4pqiMIa/view?usp=drive_link" TargetMode="External"/><Relationship Id="rId665" Type="http://schemas.openxmlformats.org/officeDocument/2006/relationships/hyperlink" Target="https://drive.google.com/file/d/1MIuP0UjioBs3o79pgKOnB-d-OPAI8wNg/view?usp=drive_link" TargetMode="External"/><Relationship Id="rId309" Type="http://schemas.openxmlformats.org/officeDocument/2006/relationships/hyperlink" Target="https://drive.google.com/file/d/1GUzZr8Be0MhhqLZwvhQnTE1Spy2WaKTh/view?usp=drive_link" TargetMode="External"/><Relationship Id="rId308" Type="http://schemas.openxmlformats.org/officeDocument/2006/relationships/hyperlink" Target="https://drive.google.com/file/d/1bTSRiQYDH02sv5Coie7ksJHnk4iCX9-d/view?usp=drive_link" TargetMode="External"/><Relationship Id="rId429" Type="http://schemas.openxmlformats.org/officeDocument/2006/relationships/hyperlink" Target="https://drive.google.com/file/d/10U1GZZ8B7M8FAxH19xIkMcm5nbbIw5kG/view?usp=drive_link" TargetMode="External"/><Relationship Id="rId307" Type="http://schemas.openxmlformats.org/officeDocument/2006/relationships/hyperlink" Target="https://drive.google.com/file/d/1Kfs8S6kJ_eHrzQETInAftcL1sV_RXVzt/view?usp=drive_link" TargetMode="External"/><Relationship Id="rId428" Type="http://schemas.openxmlformats.org/officeDocument/2006/relationships/hyperlink" Target="https://drive.google.com/file/d/1T24669_LR2KoguC5itfGunXyLfsqqDXr/view?usp=drive_link" TargetMode="External"/><Relationship Id="rId549" Type="http://schemas.openxmlformats.org/officeDocument/2006/relationships/hyperlink" Target="https://drive.google.com/file/d/1P975JG5U9KHGZL1nNyryeT3YzPYDn2Il/view?usp=drive_link" TargetMode="External"/><Relationship Id="rId306" Type="http://schemas.openxmlformats.org/officeDocument/2006/relationships/hyperlink" Target="https://drive.google.com/file/d/146TkH1ra8Sj8oN4o5152miqn-GQa3S0e/view?usp=drive_link" TargetMode="External"/><Relationship Id="rId427" Type="http://schemas.openxmlformats.org/officeDocument/2006/relationships/hyperlink" Target="https://drive.google.com/file/d/1Hh5H3CodSrZ-Gm7pLD6AsoPnhxWS6Ht_/view?usp=drive_link" TargetMode="External"/><Relationship Id="rId548" Type="http://schemas.openxmlformats.org/officeDocument/2006/relationships/hyperlink" Target="https://drive.google.com/file/d/1CtibVFAXcoLdmpCOYFwobKolG4pqiMIa/view?usp=drive_link" TargetMode="External"/><Relationship Id="rId669" Type="http://schemas.openxmlformats.org/officeDocument/2006/relationships/hyperlink" Target="https://drive.google.com/file/d/1Q_jhtP6alVVMVIdk_O7Vy5o9iR-YLeb2/view?usp=drive_link" TargetMode="External"/><Relationship Id="rId660" Type="http://schemas.openxmlformats.org/officeDocument/2006/relationships/hyperlink" Target="https://drive.google.com/file/d/1pqeTvepYgwVXpn3fy61R2wowLouIGosh/view?usp=drive_link" TargetMode="External"/><Relationship Id="rId301" Type="http://schemas.openxmlformats.org/officeDocument/2006/relationships/hyperlink" Target="https://drive.google.com/file/d/1yokOFlQPwQRRxrGGqqACBJ6L6jMBt-m6/view?usp=drive_link" TargetMode="External"/><Relationship Id="rId422" Type="http://schemas.openxmlformats.org/officeDocument/2006/relationships/hyperlink" Target="https://drive.google.com/file/d/1BIoBRARiSypgpkQps-Ma4XgD70x15JVC/view?usp=drive_link" TargetMode="External"/><Relationship Id="rId543" Type="http://schemas.openxmlformats.org/officeDocument/2006/relationships/hyperlink" Target="https://drive.google.com/file/d/1UIUyPMPB-Q_WCjJtEKLur3yIaA9sSAnG/view?usp=drive_link" TargetMode="External"/><Relationship Id="rId664" Type="http://schemas.openxmlformats.org/officeDocument/2006/relationships/hyperlink" Target="https://drive.google.com/file/d/1eJCKaFUzOLFcBUa1i3QAD8Mv2rnIS_mE/view?usp=drive_link" TargetMode="External"/><Relationship Id="rId300" Type="http://schemas.openxmlformats.org/officeDocument/2006/relationships/hyperlink" Target="https://drive.google.com/file/d/11bBSJ6Nr4Py30OyGWyBkPA8i3MIJUMc2/view?usp=drive_link" TargetMode="External"/><Relationship Id="rId421" Type="http://schemas.openxmlformats.org/officeDocument/2006/relationships/hyperlink" Target="https://drive.google.com/file/d/1s9XOZF62NMpq-h34ZCBSXzn6G4y8Jca5/view?usp=drive_link" TargetMode="External"/><Relationship Id="rId542" Type="http://schemas.openxmlformats.org/officeDocument/2006/relationships/hyperlink" Target="https://drive.google.com/file/d/107rRdhiBPAnuwabXW1vGMALOpTnnxQZs/view?usp=drive_link" TargetMode="External"/><Relationship Id="rId663" Type="http://schemas.openxmlformats.org/officeDocument/2006/relationships/hyperlink" Target="https://drive.google.com/file/d/1XMCGM3uLCWgnCvGrjVIsyeLikj4kgcGy/view?usp=drive_link" TargetMode="External"/><Relationship Id="rId420" Type="http://schemas.openxmlformats.org/officeDocument/2006/relationships/hyperlink" Target="https://drive.google.com/file/d/1BIoBRARiSypgpkQps-Ma4XgD70x15JVC/view?usp=drive_link" TargetMode="External"/><Relationship Id="rId541" Type="http://schemas.openxmlformats.org/officeDocument/2006/relationships/hyperlink" Target="https://drive.google.com/file/d/1CtibVFAXcoLdmpCOYFwobKolG4pqiMIa/view?usp=drive_link" TargetMode="External"/><Relationship Id="rId662" Type="http://schemas.openxmlformats.org/officeDocument/2006/relationships/hyperlink" Target="https://drive.google.com/file/d/18rDnfagfg3VdOakywEpUVB-a3mxA04Ny/view?usp=drive_link" TargetMode="External"/><Relationship Id="rId540" Type="http://schemas.openxmlformats.org/officeDocument/2006/relationships/hyperlink" Target="https://drive.google.com/file/d/1ybLq64AvbK0CLU7OBf4lciahkMzjwkgv/view?usp=drive_link" TargetMode="External"/><Relationship Id="rId661" Type="http://schemas.openxmlformats.org/officeDocument/2006/relationships/hyperlink" Target="https://drive.google.com/file/d/11vG-9VRQkabIiUx8gL0SrMQ_2KRM0VAU/view?usp=drive_link" TargetMode="External"/><Relationship Id="rId415" Type="http://schemas.openxmlformats.org/officeDocument/2006/relationships/hyperlink" Target="https://drive.google.com/file/d/1BIoBRARiSypgpkQps-Ma4XgD70x15JVC/view?usp=drive_link" TargetMode="External"/><Relationship Id="rId536" Type="http://schemas.openxmlformats.org/officeDocument/2006/relationships/hyperlink" Target="https://drive.google.com/file/d/1CFLpaoB0PJaAeJGaOVHg5hxHZGBUb9Yd/view?usp=drive_link" TargetMode="External"/><Relationship Id="rId657" Type="http://schemas.openxmlformats.org/officeDocument/2006/relationships/hyperlink" Target="https://drive.google.com/file/d/1lXE78XQ6GJGXyFRUq0N6VoE3XJ5belQc/view?usp=drive_link" TargetMode="External"/><Relationship Id="rId414" Type="http://schemas.openxmlformats.org/officeDocument/2006/relationships/hyperlink" Target="https://drive.google.com/file/d/1fGfBw3X3Tgl8hw72RklnZazAf7M6hnmz/view?usp=drive_link" TargetMode="External"/><Relationship Id="rId535" Type="http://schemas.openxmlformats.org/officeDocument/2006/relationships/hyperlink" Target="https://drive.google.com/file/d/1M5-2mjei8UaB0gqqxggpunbnYFQuSr_3/view?usp=drive_link" TargetMode="External"/><Relationship Id="rId656" Type="http://schemas.openxmlformats.org/officeDocument/2006/relationships/hyperlink" Target="https://drive.google.com/file/d/1ZGcOZvkavYAep9mPYFFb9XOa78MfpQUk/view?usp=drive_link" TargetMode="External"/><Relationship Id="rId413" Type="http://schemas.openxmlformats.org/officeDocument/2006/relationships/hyperlink" Target="https://drive.google.com/file/d/1wsVgj3m1b8fqkwnQAh-5ElX3Bdl7AT2D/view?usp=drive_link" TargetMode="External"/><Relationship Id="rId534" Type="http://schemas.openxmlformats.org/officeDocument/2006/relationships/hyperlink" Target="https://drive.google.com/file/d/1CFLpaoB0PJaAeJGaOVHg5hxHZGBUb9Yd/view?usp=drive_link" TargetMode="External"/><Relationship Id="rId655" Type="http://schemas.openxmlformats.org/officeDocument/2006/relationships/hyperlink" Target="https://drive.google.com/file/d/1JNgW2ZBlzr4-LFtyowYqYjkvbHel5UQg/view?usp=drive_link" TargetMode="External"/><Relationship Id="rId412" Type="http://schemas.openxmlformats.org/officeDocument/2006/relationships/hyperlink" Target="https://drive.google.com/file/d/1BIoBRARiSypgpkQps-Ma4XgD70x15JVC/view?usp=drive_link" TargetMode="External"/><Relationship Id="rId533" Type="http://schemas.openxmlformats.org/officeDocument/2006/relationships/hyperlink" Target="https://drive.google.com/file/d/1ij2Ps4rMBRVDb-CZEStzF18vuLAF2J4g/view?usp=drive_link" TargetMode="External"/><Relationship Id="rId654" Type="http://schemas.openxmlformats.org/officeDocument/2006/relationships/hyperlink" Target="https://drive.google.com/file/d/17LCcnUTwwxKvpqHUBHfxcYUc6U64iig-/view?usp=drive_link" TargetMode="External"/><Relationship Id="rId419" Type="http://schemas.openxmlformats.org/officeDocument/2006/relationships/hyperlink" Target="https://drive.google.com/file/d/137GXaLjOhIRh2gLNC-iF1pezRu86t8Ek/view?usp=drive_link" TargetMode="External"/><Relationship Id="rId418" Type="http://schemas.openxmlformats.org/officeDocument/2006/relationships/hyperlink" Target="https://drive.google.com/file/d/1BIoBRARiSypgpkQps-Ma4XgD70x15JVC/view?usp=drive_link" TargetMode="External"/><Relationship Id="rId539" Type="http://schemas.openxmlformats.org/officeDocument/2006/relationships/hyperlink" Target="https://drive.google.com/file/d/1Up7S14zXoeGke3MIqY3UtH2WQPImQO6S/view?usp=drive_link" TargetMode="External"/><Relationship Id="rId417" Type="http://schemas.openxmlformats.org/officeDocument/2006/relationships/hyperlink" Target="https://drive.google.com/file/d/1HqDOn267c7TFnM23s6ejR7zZ6TLMDwWM/view?usp=drive_link" TargetMode="External"/><Relationship Id="rId538" Type="http://schemas.openxmlformats.org/officeDocument/2006/relationships/hyperlink" Target="https://drive.google.com/file/d/1CtibVFAXcoLdmpCOYFwobKolG4pqiMIa/view?usp=drive_link" TargetMode="External"/><Relationship Id="rId659" Type="http://schemas.openxmlformats.org/officeDocument/2006/relationships/hyperlink" Target="https://drive.google.com/file/d/1kKjIbNrmKI5WB02BDX9_cRYBP0kFeCJL/view?usp=drive_link" TargetMode="External"/><Relationship Id="rId416" Type="http://schemas.openxmlformats.org/officeDocument/2006/relationships/hyperlink" Target="https://drive.google.com/file/d/1crfaiOZB1pPGm90GPtsVJGGPMsiRSma0/view?usp=drive_link" TargetMode="External"/><Relationship Id="rId537" Type="http://schemas.openxmlformats.org/officeDocument/2006/relationships/hyperlink" Target="https://drive.google.com/file/d/17f2zewKtm2thQoP-s4L9HgeNkduoxB06/view?usp=drive_link" TargetMode="External"/><Relationship Id="rId658" Type="http://schemas.openxmlformats.org/officeDocument/2006/relationships/hyperlink" Target="https://drive.google.com/file/d/1Zj7FEreAsnB_3MxsoX0pawetbPGnr1ak/view?usp=drive_link" TargetMode="External"/><Relationship Id="rId411" Type="http://schemas.openxmlformats.org/officeDocument/2006/relationships/hyperlink" Target="https://drive.google.com/file/d/10W4xUteT4D-ADrtjYCz_VxMQTkM23eL8/view?usp=drive_link" TargetMode="External"/><Relationship Id="rId532" Type="http://schemas.openxmlformats.org/officeDocument/2006/relationships/hyperlink" Target="https://drive.google.com/file/d/1CFLpaoB0PJaAeJGaOVHg5hxHZGBUb9Yd/view?usp=drive_link" TargetMode="External"/><Relationship Id="rId653" Type="http://schemas.openxmlformats.org/officeDocument/2006/relationships/hyperlink" Target="https://drive.google.com/file/d/10jucGeJcd-woX_wSglMNQ2J7ypDZjx0M/view?usp=drive_link" TargetMode="External"/><Relationship Id="rId410" Type="http://schemas.openxmlformats.org/officeDocument/2006/relationships/hyperlink" Target="https://drive.google.com/file/d/1BIoBRARiSypgpkQps-Ma4XgD70x15JVC/view?usp=drive_link" TargetMode="External"/><Relationship Id="rId531" Type="http://schemas.openxmlformats.org/officeDocument/2006/relationships/hyperlink" Target="https://drive.google.com/file/d/1TVGlZDC4G2y9pmJwG6YYUHX_M0LSNMgb/view?usp=drive_link" TargetMode="External"/><Relationship Id="rId652" Type="http://schemas.openxmlformats.org/officeDocument/2006/relationships/hyperlink" Target="https://drive.google.com/file/d/1yWZYgMORh3tqsv7zzeafI4sW1VPGwltn/view?usp=share_link" TargetMode="External"/><Relationship Id="rId530" Type="http://schemas.openxmlformats.org/officeDocument/2006/relationships/hyperlink" Target="https://drive.google.com/file/d/1N-DeQ0ChcJ5i3auE7vBmPyb-kQwCRqhF/view?usp=drive_link" TargetMode="External"/><Relationship Id="rId651" Type="http://schemas.openxmlformats.org/officeDocument/2006/relationships/hyperlink" Target="https://drive.google.com/file/d/1jg7-wHs380AbuoQ8APDqtMcGVpfWB65h/view?usp=share_link" TargetMode="External"/><Relationship Id="rId650" Type="http://schemas.openxmlformats.org/officeDocument/2006/relationships/hyperlink" Target="https://drive.google.com/file/d/1I7J89eMEGU1o05vzxpBms8oQ3OQgDEhr/view?usp=share_link" TargetMode="External"/><Relationship Id="rId206" Type="http://schemas.openxmlformats.org/officeDocument/2006/relationships/hyperlink" Target="https://drive.google.com/file/d/1eCIk_znge5l8evhZ9xESS9AfXvTUQlBn/view?usp=drive_link" TargetMode="External"/><Relationship Id="rId327" Type="http://schemas.openxmlformats.org/officeDocument/2006/relationships/hyperlink" Target="https://drive.google.com/file/d/1PpBlLfjv04RigU290bR0xDwjnfSTfQUc/view?usp=drive_link" TargetMode="External"/><Relationship Id="rId448" Type="http://schemas.openxmlformats.org/officeDocument/2006/relationships/hyperlink" Target="https://drive.google.com/file/d/1BIoBRARiSypgpkQps-Ma4XgD70x15JVC/view?usp=drive_link" TargetMode="External"/><Relationship Id="rId569" Type="http://schemas.openxmlformats.org/officeDocument/2006/relationships/hyperlink" Target="https://drive.google.com/file/d/1XuZwx2MXYjbsWZL1cDipIrhMcvKLA7yH/view?usp=drive_link" TargetMode="External"/><Relationship Id="rId205" Type="http://schemas.openxmlformats.org/officeDocument/2006/relationships/hyperlink" Target="https://drive.google.com/file/d/1AsQLpMk9YMNYwlR6p7GwPwG_b3968dYl/view?usp=drive_link" TargetMode="External"/><Relationship Id="rId326" Type="http://schemas.openxmlformats.org/officeDocument/2006/relationships/hyperlink" Target="https://drive.google.com/file/d/1vf-3BnsBsHcrJ9SMT7FpJiks43AJoIRm/view?usp=drive_link" TargetMode="External"/><Relationship Id="rId447" Type="http://schemas.openxmlformats.org/officeDocument/2006/relationships/hyperlink" Target="https://drive.google.com/file/d/1wF_WFmjDMXgnLroU1x2apjEcebwkF_YH/view?usp=drive_link" TargetMode="External"/><Relationship Id="rId568" Type="http://schemas.openxmlformats.org/officeDocument/2006/relationships/hyperlink" Target="https://drive.google.com/file/d/1WF7uFpFXOn_WbtSL5c0mqdqJ8n8iz3-z/view?usp=drive_link" TargetMode="External"/><Relationship Id="rId204" Type="http://schemas.openxmlformats.org/officeDocument/2006/relationships/hyperlink" Target="https://drive.google.com/file/d/11gOsMN0-17bFSvLyby8agJTPi6W-TohJ/view?usp=drive_link" TargetMode="External"/><Relationship Id="rId325" Type="http://schemas.openxmlformats.org/officeDocument/2006/relationships/hyperlink" Target="https://drive.google.com/file/d/17z6ZyRagrJDvTANYRc7aHRgOrMPFbCaI/view?usp=drive_link" TargetMode="External"/><Relationship Id="rId446" Type="http://schemas.openxmlformats.org/officeDocument/2006/relationships/hyperlink" Target="https://drive.google.com/file/d/1jSntAnFEZJ0ScZmWhWX_tNX-1gorMxA2/view?usp=drive_link" TargetMode="External"/><Relationship Id="rId567" Type="http://schemas.openxmlformats.org/officeDocument/2006/relationships/hyperlink" Target="https://drive.google.com/file/d/1b22saID97tVVjT37UoOXO6OI5779OrcG/view?usp=drive_link" TargetMode="External"/><Relationship Id="rId688" Type="http://schemas.openxmlformats.org/officeDocument/2006/relationships/drawing" Target="../drawings/drawing3.xml"/><Relationship Id="rId203" Type="http://schemas.openxmlformats.org/officeDocument/2006/relationships/hyperlink" Target="https://drive.google.com/file/d/1TKPYs4_Z1ttdzvmjF44TWOyhxLT0G3xq/view?usp=drive_link" TargetMode="External"/><Relationship Id="rId324" Type="http://schemas.openxmlformats.org/officeDocument/2006/relationships/hyperlink" Target="https://drive.google.com/file/d/1Nfe9hi4hvThhQvh0AVzY4S1L7gG4dre8/view?usp=drive_link" TargetMode="External"/><Relationship Id="rId445" Type="http://schemas.openxmlformats.org/officeDocument/2006/relationships/hyperlink" Target="https://drive.google.com/file/d/1e2MUKg6YxLPP1UbJEKTYKmlQZSE-VYCM/view?usp=drive_link" TargetMode="External"/><Relationship Id="rId566" Type="http://schemas.openxmlformats.org/officeDocument/2006/relationships/hyperlink" Target="https://drive.google.com/file/d/1pEyf7fqVX65U_mt0lwdPiPf0C0ocfcWi/view?usp=drive_link" TargetMode="External"/><Relationship Id="rId687" Type="http://schemas.openxmlformats.org/officeDocument/2006/relationships/hyperlink" Target="https://drive.google.com/file/d/1ISp2srHuk3opievb_TQURwQ5pjVfropy/view?usp=drive_link" TargetMode="External"/><Relationship Id="rId209" Type="http://schemas.openxmlformats.org/officeDocument/2006/relationships/hyperlink" Target="https://drive.google.com/file/d/1D0g-kkgqu9x9YnjVFjFz5pd49gQixtCF/view?usp=drive_link" TargetMode="External"/><Relationship Id="rId208" Type="http://schemas.openxmlformats.org/officeDocument/2006/relationships/hyperlink" Target="https://drive.google.com/file/d/12HVKRRuT14ph3tOBRSQr0hL80vran5Fk/view?usp=drive_link" TargetMode="External"/><Relationship Id="rId329" Type="http://schemas.openxmlformats.org/officeDocument/2006/relationships/hyperlink" Target="https://drive.google.com/file/d/1kIQY3POU52txAjBQ_9EnbeKh8t3Q4eZi/view?usp=drive_link" TargetMode="External"/><Relationship Id="rId207" Type="http://schemas.openxmlformats.org/officeDocument/2006/relationships/hyperlink" Target="https://drive.google.com/file/d/1KrtOHkgkGRy14MnanWvkO7r2xJn4XQVF/view?usp=drive_link" TargetMode="External"/><Relationship Id="rId328" Type="http://schemas.openxmlformats.org/officeDocument/2006/relationships/hyperlink" Target="https://drive.google.com/file/d/1zSNTDOG9NXdjaGOzWo3u2C7HQkKvB9vN/view?usp=drive_link" TargetMode="External"/><Relationship Id="rId449" Type="http://schemas.openxmlformats.org/officeDocument/2006/relationships/hyperlink" Target="https://drive.google.com/file/d/1jcEYl99gHg797Y9Ayxu9bjPOGWoSy4B5/view?usp=drive_link" TargetMode="External"/><Relationship Id="rId440" Type="http://schemas.openxmlformats.org/officeDocument/2006/relationships/hyperlink" Target="https://drive.google.com/file/d/1R7Ggj0aSTl-Imifdv8O54gDLTYTG649r/view?usp=drive_link" TargetMode="External"/><Relationship Id="rId561" Type="http://schemas.openxmlformats.org/officeDocument/2006/relationships/hyperlink" Target="https://drive.google.com/file/d/1b22saID97tVVjT37UoOXO6OI5779OrcG/view?usp=drive_link" TargetMode="External"/><Relationship Id="rId682" Type="http://schemas.openxmlformats.org/officeDocument/2006/relationships/hyperlink" Target="https://drive.google.com/file/d/15BUbhftp-n4YH_7CyCB76V9uVuY7v9Dv/view?usp=drive_link" TargetMode="External"/><Relationship Id="rId560" Type="http://schemas.openxmlformats.org/officeDocument/2006/relationships/hyperlink" Target="https://drive.google.com/file/d/1F7GCDFTBJFyDwCjgYuNPX11jJugp8MyA/view?usp=drive_link" TargetMode="External"/><Relationship Id="rId681" Type="http://schemas.openxmlformats.org/officeDocument/2006/relationships/hyperlink" Target="https://drive.google.com/file/d/16eoFe3fdnAO5R6X1zZWJs0BvAU3V-yur/view?usp=drive_link" TargetMode="External"/><Relationship Id="rId680" Type="http://schemas.openxmlformats.org/officeDocument/2006/relationships/hyperlink" Target="https://drive.google.com/file/d/1bYzyftpBzad9LWKtQsmmxB09gMUihdlg/view?usp=drive_link" TargetMode="External"/><Relationship Id="rId202" Type="http://schemas.openxmlformats.org/officeDocument/2006/relationships/hyperlink" Target="https://drive.google.com/file/d/167konhZQlzw--I8LXpmUdrQdYQrsSeYA/view?usp=drive_link" TargetMode="External"/><Relationship Id="rId323" Type="http://schemas.openxmlformats.org/officeDocument/2006/relationships/hyperlink" Target="https://drive.google.com/file/d/1g2snyGqEAtxnGqzWsTygT6lKvfOzCMcK/view?usp=drive_link" TargetMode="External"/><Relationship Id="rId444" Type="http://schemas.openxmlformats.org/officeDocument/2006/relationships/hyperlink" Target="https://drive.google.com/file/d/1x1e9TJV-f24WdFYljk7joohMyXZqvu1B/view?usp=drive_link" TargetMode="External"/><Relationship Id="rId565" Type="http://schemas.openxmlformats.org/officeDocument/2006/relationships/hyperlink" Target="https://drive.google.com/file/d/16RP8aii09haG5ue3mGvooSt_MHF_lUnA/view?usp=drive_link" TargetMode="External"/><Relationship Id="rId686" Type="http://schemas.openxmlformats.org/officeDocument/2006/relationships/hyperlink" Target="https://drive.google.com/file/d/1z3va51yHKD6hrNCPPym2Z3yopSncQnnC/view?usp=drive_link" TargetMode="External"/><Relationship Id="rId201" Type="http://schemas.openxmlformats.org/officeDocument/2006/relationships/hyperlink" Target="https://drive.google.com/file/d/1iWj2SljJR5H3b5-cgCaUntgc9DpxoKK2/view?usp=drive_link" TargetMode="External"/><Relationship Id="rId322" Type="http://schemas.openxmlformats.org/officeDocument/2006/relationships/hyperlink" Target="https://drive.google.com/file/d/1KHx1zXL6itpF3ZLvpmjun9mDUnGiF1l1/view?usp=drive_link" TargetMode="External"/><Relationship Id="rId443" Type="http://schemas.openxmlformats.org/officeDocument/2006/relationships/hyperlink" Target="https://drive.google.com/file/d/1e2MUKg6YxLPP1UbJEKTYKmlQZSE-VYCM/view?usp=drive_link" TargetMode="External"/><Relationship Id="rId564" Type="http://schemas.openxmlformats.org/officeDocument/2006/relationships/hyperlink" Target="https://drive.google.com/file/d/1b22saID97tVVjT37UoOXO6OI5779OrcG/view?usp=drive_link" TargetMode="External"/><Relationship Id="rId685" Type="http://schemas.openxmlformats.org/officeDocument/2006/relationships/hyperlink" Target="https://drive.google.com/file/d/1ctLMRzAGOEGY5HvcoDGNjiUUeW16vdL7/view?usp=drive_link" TargetMode="External"/><Relationship Id="rId200" Type="http://schemas.openxmlformats.org/officeDocument/2006/relationships/hyperlink" Target="https://drive.google.com/file/d/12Xp6bwc33WOcrsy6n4wjkkh7xYbeDICX/view?usp=drive_link" TargetMode="External"/><Relationship Id="rId321" Type="http://schemas.openxmlformats.org/officeDocument/2006/relationships/hyperlink" Target="https://drive.google.com/file/d/1ReeqkHeHOnvXLej6FDVkYppSyWjGfP5D/view?usp=drive_link" TargetMode="External"/><Relationship Id="rId442" Type="http://schemas.openxmlformats.org/officeDocument/2006/relationships/hyperlink" Target="https://drive.google.com/file/d/1KMSP72MToYkSVe68m30zU4y7jXrUw5eQ/view?usp=drive_link" TargetMode="External"/><Relationship Id="rId563" Type="http://schemas.openxmlformats.org/officeDocument/2006/relationships/hyperlink" Target="https://drive.google.com/file/d/1b5EZ2JBfLevwO6lk3l6_TRFUzk3abfBd/view?usp=drive_link" TargetMode="External"/><Relationship Id="rId684" Type="http://schemas.openxmlformats.org/officeDocument/2006/relationships/hyperlink" Target="https://drive.google.com/file/d/1o6BgZ4za5SbCI_1YPUmyCUStOlpBjkaR/view?usp=drive_link" TargetMode="External"/><Relationship Id="rId320" Type="http://schemas.openxmlformats.org/officeDocument/2006/relationships/hyperlink" Target="https://drive.google.com/file/d/1b10_nbQ-mykfQ0NL3l7geEQXovUfctWk/view?usp=drive_link" TargetMode="External"/><Relationship Id="rId441" Type="http://schemas.openxmlformats.org/officeDocument/2006/relationships/hyperlink" Target="https://drive.google.com/file/d/1e2MUKg6YxLPP1UbJEKTYKmlQZSE-VYCM/view?usp=drive_link" TargetMode="External"/><Relationship Id="rId562" Type="http://schemas.openxmlformats.org/officeDocument/2006/relationships/hyperlink" Target="https://drive.google.com/file/d/1fpCeEV7A7meQy6zypbHpB7nIoKoKFgUx/view?usp=drive_link" TargetMode="External"/><Relationship Id="rId683" Type="http://schemas.openxmlformats.org/officeDocument/2006/relationships/hyperlink" Target="https://drive.google.com/file/d/1SLn8YEmQxiH3KFt7fauv8uQs_xY3k2of/view?usp=drive_link" TargetMode="External"/><Relationship Id="rId316" Type="http://schemas.openxmlformats.org/officeDocument/2006/relationships/hyperlink" Target="https://drive.google.com/file/d/1TDu9em3AIOSLFOaJRkMh1yDFy0UXzpMc/view?usp=drive_link" TargetMode="External"/><Relationship Id="rId437" Type="http://schemas.openxmlformats.org/officeDocument/2006/relationships/hyperlink" Target="https://drive.google.com/file/d/1lrXhxG8qBaKzkygA8pwuS35wP0USdyI9/view?usp=drive_link" TargetMode="External"/><Relationship Id="rId558" Type="http://schemas.openxmlformats.org/officeDocument/2006/relationships/hyperlink" Target="https://drive.google.com/file/d/1Y-qShXore30oGpSTyls23H1PHf22k3py/view?usp=drive_link" TargetMode="External"/><Relationship Id="rId679" Type="http://schemas.openxmlformats.org/officeDocument/2006/relationships/hyperlink" Target="https://drive.google.com/file/d/1GAfUGLyq8B_gysjzY7Mcjz_cb10-yyG0/view?usp=drive_link" TargetMode="External"/><Relationship Id="rId315" Type="http://schemas.openxmlformats.org/officeDocument/2006/relationships/hyperlink" Target="https://drive.google.com/file/d/11yz7z0A0e_cT3JDoxd2P7DEQR5p0_dzs/view?usp=drive_link" TargetMode="External"/><Relationship Id="rId436" Type="http://schemas.openxmlformats.org/officeDocument/2006/relationships/hyperlink" Target="https://drive.google.com/file/d/1e2MUKg6YxLPP1UbJEKTYKmlQZSE-VYCM/view?usp=drive_link" TargetMode="External"/><Relationship Id="rId557" Type="http://schemas.openxmlformats.org/officeDocument/2006/relationships/hyperlink" Target="https://drive.google.com/file/d/17mAq9OgYVSOrAiXSqUmFSu9MRD8ZPbTx/view?usp=drive_link" TargetMode="External"/><Relationship Id="rId678" Type="http://schemas.openxmlformats.org/officeDocument/2006/relationships/hyperlink" Target="https://drive.google.com/file/d/1yOL5S9-3gd3AIRhmu2I0xTOaRhZx8Gcn/view?usp=drive_link" TargetMode="External"/><Relationship Id="rId314" Type="http://schemas.openxmlformats.org/officeDocument/2006/relationships/hyperlink" Target="https://drive.google.com/file/d/1_I4FbRBYKY-B4CV_jEYXuKOG7B-UMNOL/view?usp=drive_link" TargetMode="External"/><Relationship Id="rId435" Type="http://schemas.openxmlformats.org/officeDocument/2006/relationships/hyperlink" Target="https://drive.google.com/file/d/1PWqa2S_DXp9H3Vvvv0NnxPfS-YSj9k5c/view?usp=drive_link" TargetMode="External"/><Relationship Id="rId556" Type="http://schemas.openxmlformats.org/officeDocument/2006/relationships/hyperlink" Target="https://drive.google.com/file/d/1BoIhPBbkqkXvHRZc3f1vvCp-npABd804/view?usp=drive_link" TargetMode="External"/><Relationship Id="rId677" Type="http://schemas.openxmlformats.org/officeDocument/2006/relationships/hyperlink" Target="https://drive.google.com/file/d/1Yd8VXyVPf34Y0X9aCGWfiHAggD265_Q3/view?usp=drive_link" TargetMode="External"/><Relationship Id="rId313" Type="http://schemas.openxmlformats.org/officeDocument/2006/relationships/hyperlink" Target="https://drive.google.com/file/d/11yz7z0A0e_cT3JDoxd2P7DEQR5p0_dzs/view?usp=drive_link" TargetMode="External"/><Relationship Id="rId434" Type="http://schemas.openxmlformats.org/officeDocument/2006/relationships/hyperlink" Target="https://drive.google.com/file/d/1BIoBRARiSypgpkQps-Ma4XgD70x15JVC/view?usp=drive_link" TargetMode="External"/><Relationship Id="rId555" Type="http://schemas.openxmlformats.org/officeDocument/2006/relationships/hyperlink" Target="https://drive.google.com/file/d/1yqrPxNrLFtVBDDlil2Xd-Iw2GjMaSSp8/view?usp=drive_link" TargetMode="External"/><Relationship Id="rId676" Type="http://schemas.openxmlformats.org/officeDocument/2006/relationships/hyperlink" Target="https://drive.google.com/file/d/1o9FNcMqWQikgQZsbeSItfTKW2KuyIt5j/view?usp=drive_link" TargetMode="External"/><Relationship Id="rId319" Type="http://schemas.openxmlformats.org/officeDocument/2006/relationships/hyperlink" Target="https://drive.google.com/file/d/1vyNKrcn9KI4unS3AIRzo4pzZmm8KFjgq/view?usp=drive_link" TargetMode="External"/><Relationship Id="rId318" Type="http://schemas.openxmlformats.org/officeDocument/2006/relationships/hyperlink" Target="https://drive.google.com/file/d/1rvhUG-FkliERFwKA53HIuqNU_cc3MJpy/view?usp=drive_link" TargetMode="External"/><Relationship Id="rId439" Type="http://schemas.openxmlformats.org/officeDocument/2006/relationships/hyperlink" Target="https://drive.google.com/file/d/1e2MUKg6YxLPP1UbJEKTYKmlQZSE-VYCM/view?usp=drive_link" TargetMode="External"/><Relationship Id="rId317" Type="http://schemas.openxmlformats.org/officeDocument/2006/relationships/hyperlink" Target="https://drive.google.com/file/d/11yz7z0A0e_cT3JDoxd2P7DEQR5p0_dzs/view?usp=drive_link" TargetMode="External"/><Relationship Id="rId438" Type="http://schemas.openxmlformats.org/officeDocument/2006/relationships/hyperlink" Target="https://drive.google.com/file/d/12ytiXaBmwmZCQeRTWDFFhHa4G1LRF0eQ/view?usp=drive_link" TargetMode="External"/><Relationship Id="rId559" Type="http://schemas.openxmlformats.org/officeDocument/2006/relationships/hyperlink" Target="https://drive.google.com/file/d/18jKZtBCBXc4XZLfUCl1JxQRy62pHttXB/view?usp=drive_link" TargetMode="External"/><Relationship Id="rId550" Type="http://schemas.openxmlformats.org/officeDocument/2006/relationships/hyperlink" Target="https://drive.google.com/file/d/1CtibVFAXcoLdmpCOYFwobKolG4pqiMIa/view?usp=drive_link" TargetMode="External"/><Relationship Id="rId671" Type="http://schemas.openxmlformats.org/officeDocument/2006/relationships/hyperlink" Target="https://drive.google.com/file/d/1xwKOCzbmZGTFxxZxyKLNTf9QDhihQQ6b/view?usp=drive_link" TargetMode="External"/><Relationship Id="rId670" Type="http://schemas.openxmlformats.org/officeDocument/2006/relationships/hyperlink" Target="https://drive.google.com/file/d/1wiARt4HNhxKXpdlepG48P74NfSD3NV4Q/view?usp=drive_link" TargetMode="External"/><Relationship Id="rId312" Type="http://schemas.openxmlformats.org/officeDocument/2006/relationships/hyperlink" Target="https://drive.google.com/file/d/1I78uVOU8CTSfBpXKfewCNyuXFNJJFA7A/view?usp=drive_link" TargetMode="External"/><Relationship Id="rId433" Type="http://schemas.openxmlformats.org/officeDocument/2006/relationships/hyperlink" Target="https://drive.google.com/file/d/1UjFQRyf4krbsdyLUROrzi1H_2vEMWTt2/view?usp=drive_link" TargetMode="External"/><Relationship Id="rId554" Type="http://schemas.openxmlformats.org/officeDocument/2006/relationships/hyperlink" Target="https://drive.google.com/file/d/1wI0apirCrSUSQSXzYB8EYnSrgD6CfKMg/view?usp=drive_link" TargetMode="External"/><Relationship Id="rId675" Type="http://schemas.openxmlformats.org/officeDocument/2006/relationships/hyperlink" Target="https://drive.google.com/file/d/1n8vrhPlkdMM6TVAyVF2h8-iZRG8Rs9z9/view?usp=drive_link" TargetMode="External"/><Relationship Id="rId311" Type="http://schemas.openxmlformats.org/officeDocument/2006/relationships/hyperlink" Target="https://drive.google.com/file/d/11yz7z0A0e_cT3JDoxd2P7DEQR5p0_dzs/view?usp=drive_link" TargetMode="External"/><Relationship Id="rId432" Type="http://schemas.openxmlformats.org/officeDocument/2006/relationships/hyperlink" Target="https://drive.google.com/file/d/1pNrPlWs0AjWHqfRE5EnTSZuy-dWBqGxE/view?usp=drive_link" TargetMode="External"/><Relationship Id="rId553" Type="http://schemas.openxmlformats.org/officeDocument/2006/relationships/hyperlink" Target="https://drive.google.com/file/d/17YdhJMNoYk5_c9paStUP_BAgwGOL0ONh/view?usp=drive_link" TargetMode="External"/><Relationship Id="rId674" Type="http://schemas.openxmlformats.org/officeDocument/2006/relationships/hyperlink" Target="https://drive.google.com/file/d/1Q_jhtP6alVVMVIdk_O7Vy5o9iR-YLeb2/view?usp=drive_link" TargetMode="External"/><Relationship Id="rId310" Type="http://schemas.openxmlformats.org/officeDocument/2006/relationships/hyperlink" Target="https://drive.google.com/file/d/1e3rIer5_bQ3cP2RmfKVqIu7QW-2rW0gp/view?usp=drive_link" TargetMode="External"/><Relationship Id="rId431" Type="http://schemas.openxmlformats.org/officeDocument/2006/relationships/hyperlink" Target="https://drive.google.com/file/d/1BIoBRARiSypgpkQps-Ma4XgD70x15JVC/view?usp=drive_link" TargetMode="External"/><Relationship Id="rId552" Type="http://schemas.openxmlformats.org/officeDocument/2006/relationships/hyperlink" Target="https://drive.google.com/file/d/1CtibVFAXcoLdmpCOYFwobKolG4pqiMIa/view?usp=drive_link" TargetMode="External"/><Relationship Id="rId673" Type="http://schemas.openxmlformats.org/officeDocument/2006/relationships/hyperlink" Target="https://drive.google.com/file/d/1ytVXCXTiF3daEZLZcehlu6iMrxpgzucA/view?usp=drive_link" TargetMode="External"/><Relationship Id="rId430" Type="http://schemas.openxmlformats.org/officeDocument/2006/relationships/hyperlink" Target="https://drive.google.com/file/d/1CRhexLDxREzHb8a78Y43hle5ltZETvWu/view?usp=drive_link" TargetMode="External"/><Relationship Id="rId551" Type="http://schemas.openxmlformats.org/officeDocument/2006/relationships/hyperlink" Target="https://drive.google.com/file/d/1QkMle5fhDN5FEtwRe_OZfpRlvVj_Va1h/view?usp=drive_link" TargetMode="External"/><Relationship Id="rId672" Type="http://schemas.openxmlformats.org/officeDocument/2006/relationships/hyperlink" Target="https://drive.google.com/file/d/1Q_jhtP6alVVMVIdk_O7Vy5o9iR-YLeb2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4V6Mn-o3Wit3ymdeq51NU530WoMvEEDc/view?usp=drive_link" TargetMode="External"/><Relationship Id="rId194" Type="http://schemas.openxmlformats.org/officeDocument/2006/relationships/hyperlink" Target="https://drive.google.com/file/d/1hdiwhTAeKmHJo_JZvqNCRGBeTJ5b5-VO/view?usp=drive_link" TargetMode="External"/><Relationship Id="rId193" Type="http://schemas.openxmlformats.org/officeDocument/2006/relationships/hyperlink" Target="https://drive.google.com/file/d/1LXfTB2uJ7gRH-6Tm70FeVTz3YNC1PCF4/view?usp=drive_link" TargetMode="External"/><Relationship Id="rId192" Type="http://schemas.openxmlformats.org/officeDocument/2006/relationships/hyperlink" Target="https://drive.google.com/file/d/1B-TllYUqfwXP1hDuq2JM8C7TGqsl5vx2/view?usp=drive_link" TargetMode="External"/><Relationship Id="rId191" Type="http://schemas.openxmlformats.org/officeDocument/2006/relationships/hyperlink" Target="https://drive.google.com/file/d/1OnFxd6-ZNpR4qysnaqJMueAdaAyR7DoR/view?usp=drive_link" TargetMode="External"/><Relationship Id="rId187" Type="http://schemas.openxmlformats.org/officeDocument/2006/relationships/hyperlink" Target="https://drive.google.com/file/d/1ZxEDK6SrbQdQq-zVSGCsa59scFSivmfh/view?usp=drive_link" TargetMode="External"/><Relationship Id="rId186" Type="http://schemas.openxmlformats.org/officeDocument/2006/relationships/hyperlink" Target="https://drive.google.com/file/d/1Q03BziuOly42fqkNstDXtAHdy4DYGUo8/view?usp=drive_link" TargetMode="External"/><Relationship Id="rId185" Type="http://schemas.openxmlformats.org/officeDocument/2006/relationships/hyperlink" Target="https://drive.google.com/file/d/1ZxEDK6SrbQdQq-zVSGCsa59scFSivmfh/view?usp=drive_link" TargetMode="External"/><Relationship Id="rId184" Type="http://schemas.openxmlformats.org/officeDocument/2006/relationships/hyperlink" Target="https://drive.google.com/file/d/1aowA9XNm4RoIN-kVXbhE2p69QKIwQz6f/view?usp=drive_link" TargetMode="External"/><Relationship Id="rId189" Type="http://schemas.openxmlformats.org/officeDocument/2006/relationships/hyperlink" Target="https://drive.google.com/file/d/1e-pa-XdzX4J0UHY91zXpMOqgJ3cUkFKC/view?usp=drive_link" TargetMode="External"/><Relationship Id="rId188" Type="http://schemas.openxmlformats.org/officeDocument/2006/relationships/hyperlink" Target="https://drive.google.com/file/d/1ZxEDK6SrbQdQq-zVSGCsa59scFSivmfh/view?usp=drive_link" TargetMode="External"/><Relationship Id="rId183" Type="http://schemas.openxmlformats.org/officeDocument/2006/relationships/hyperlink" Target="https://drive.google.com/file/d/1ZxEDK6SrbQdQq-zVSGCsa59scFSivmfh/view?usp=drive_link" TargetMode="External"/><Relationship Id="rId182" Type="http://schemas.openxmlformats.org/officeDocument/2006/relationships/hyperlink" Target="https://drive.google.com/file/d/1mlXOAdHcQLMBKCJDxeguoy7tk-0u6UaI/view?usp=drive_link" TargetMode="External"/><Relationship Id="rId181" Type="http://schemas.openxmlformats.org/officeDocument/2006/relationships/hyperlink" Target="https://drive.google.com/file/d/1pbetDTAz4mvSRgJbKc_Hvog-OwfbdgAt/view?usp=drive_link" TargetMode="External"/><Relationship Id="rId180" Type="http://schemas.openxmlformats.org/officeDocument/2006/relationships/hyperlink" Target="https://drive.google.com/file/d/1oQjfsIs1lFcK5vuukddec9O51zGqSGR8/view?usp=drive_link" TargetMode="External"/><Relationship Id="rId176" Type="http://schemas.openxmlformats.org/officeDocument/2006/relationships/hyperlink" Target="https://drive.google.com/file/d/1Ws_i1tmUrmPGgFBe3wzIHISGs__f7pKY/view?usp=drive_link" TargetMode="External"/><Relationship Id="rId297" Type="http://schemas.openxmlformats.org/officeDocument/2006/relationships/hyperlink" Target="https://drive.google.com/file/d/1lCUSULpjW6HKGkk-y10CbRJAiy8AiwLD/view?usp=drive_link" TargetMode="External"/><Relationship Id="rId175" Type="http://schemas.openxmlformats.org/officeDocument/2006/relationships/hyperlink" Target="https://drive.google.com/file/d/1eEVWpu5Spk_y69yT03eFS06PnHIKLUYv/view?usp=drive_link" TargetMode="External"/><Relationship Id="rId296" Type="http://schemas.openxmlformats.org/officeDocument/2006/relationships/hyperlink" Target="https://drive.google.com/file/d/1CFLpaoB0PJaAeJGaOVHg5hxHZGBUb9Yd/view?usp=drive_link" TargetMode="External"/><Relationship Id="rId174" Type="http://schemas.openxmlformats.org/officeDocument/2006/relationships/hyperlink" Target="https://drive.google.com/file/d/1RX8B3e63LglPvUcT8k9z4skKaok-ItE_/view?usp=drive_link" TargetMode="External"/><Relationship Id="rId295" Type="http://schemas.openxmlformats.org/officeDocument/2006/relationships/hyperlink" Target="https://drive.google.com/file/d/1CFLpaoB0PJaAeJGaOVHg5hxHZGBUb9Yd/view?usp=drive_link" TargetMode="External"/><Relationship Id="rId173" Type="http://schemas.openxmlformats.org/officeDocument/2006/relationships/hyperlink" Target="https://drive.google.com/file/d/1k-z-gTmEXVyFonX-KsSL-DbZbpDAXJRf/view?usp=drive_link" TargetMode="External"/><Relationship Id="rId294" Type="http://schemas.openxmlformats.org/officeDocument/2006/relationships/hyperlink" Target="https://drive.google.com/file/d/1aOhuI6s-gIi4np5CDXSS0RLk--jqn-bc/view?usp=drive_link" TargetMode="External"/><Relationship Id="rId179" Type="http://schemas.openxmlformats.org/officeDocument/2006/relationships/hyperlink" Target="https://drive.google.com/file/d/1ELoWwQ9T0rYrp0lZvcqCKRYMVEyo52dw/view?usp=drive_link" TargetMode="External"/><Relationship Id="rId178" Type="http://schemas.openxmlformats.org/officeDocument/2006/relationships/hyperlink" Target="https://drive.google.com/file/d/1bl8TqWsf-TgUxeHJGRljBakpb2ZwZj77/view?usp=drive_link" TargetMode="External"/><Relationship Id="rId299" Type="http://schemas.openxmlformats.org/officeDocument/2006/relationships/hyperlink" Target="https://drive.google.com/file/d/1lCUSULpjW6HKGkk-y10CbRJAiy8AiwLD/view?usp=drive_link" TargetMode="External"/><Relationship Id="rId177" Type="http://schemas.openxmlformats.org/officeDocument/2006/relationships/hyperlink" Target="https://drive.google.com/file/d/1bl8TqWsf-TgUxeHJGRljBakpb2ZwZj77/view?usp=drive_link" TargetMode="External"/><Relationship Id="rId298" Type="http://schemas.openxmlformats.org/officeDocument/2006/relationships/hyperlink" Target="https://drive.google.com/file/d/1-FjzRt1Ai1x4-DQydqUHDf2ydF2haM80/view?usp=drive_link" TargetMode="External"/><Relationship Id="rId198" Type="http://schemas.openxmlformats.org/officeDocument/2006/relationships/hyperlink" Target="https://drive.google.com/file/d/17tbaRXZ82_T3GrfvsZ3tLTaN8huJhOQB/view?usp=drive_link" TargetMode="External"/><Relationship Id="rId197" Type="http://schemas.openxmlformats.org/officeDocument/2006/relationships/hyperlink" Target="https://drive.google.com/file/d/1eBIESOMT0Mi-7sg1FDZRXZZcK2Ow265L/view?usp=drive_link" TargetMode="External"/><Relationship Id="rId196" Type="http://schemas.openxmlformats.org/officeDocument/2006/relationships/hyperlink" Target="https://drive.google.com/file/d/1UML4D3mBUfBAvcRDnsrxypd-hAgx2BjP/view?usp=drive_link" TargetMode="External"/><Relationship Id="rId195" Type="http://schemas.openxmlformats.org/officeDocument/2006/relationships/hyperlink" Target="https://drive.google.com/file/d/1PzPWaWyqrc6adr94M4cnBqk4QkE8LU-Q/view?usp=drive_link" TargetMode="External"/><Relationship Id="rId199" Type="http://schemas.openxmlformats.org/officeDocument/2006/relationships/hyperlink" Target="https://drive.google.com/file/d/1JT6fvmHq9Dd41WPT5Nx-DUZyzZf9-G22/view?usp=drive_link" TargetMode="External"/><Relationship Id="rId150" Type="http://schemas.openxmlformats.org/officeDocument/2006/relationships/hyperlink" Target="https://drive.google.com/file/d/1XETqRWa7K-NVQOjApfAjWbxgPXNRNqVZ/view?usp=drive_link" TargetMode="External"/><Relationship Id="rId271" Type="http://schemas.openxmlformats.org/officeDocument/2006/relationships/hyperlink" Target="https://drive.google.com/file/d/1CtibVFAXcoLdmpCOYFwobKolG4pqiMIa/view?usp=drive_link" TargetMode="External"/><Relationship Id="rId270" Type="http://schemas.openxmlformats.org/officeDocument/2006/relationships/hyperlink" Target="https://drive.google.com/file/d/1CFLpaoB0PJaAeJGaOVHg5hxHZGBUb9Yd/view?usp=drive_link" TargetMode="External"/><Relationship Id="rId1" Type="http://schemas.openxmlformats.org/officeDocument/2006/relationships/hyperlink" Target="https://drive.google.com/file/d/12wPyYUvQnEdQpuOUewE0D14ehtZDFAGy/view?usp=sharing" TargetMode="External"/><Relationship Id="rId2" Type="http://schemas.openxmlformats.org/officeDocument/2006/relationships/hyperlink" Target="https://drive.google.com/file/d/1mG5k4VYuL81Sd73bhxbQUh_DqLKygciX/view?usp=drive_link" TargetMode="External"/><Relationship Id="rId3" Type="http://schemas.openxmlformats.org/officeDocument/2006/relationships/hyperlink" Target="https://drive.google.com/file/d/1bAk-6vZN6zqBNZiQvRywtU1qUuasN6B4/view?usp=drive_link" TargetMode="External"/><Relationship Id="rId149" Type="http://schemas.openxmlformats.org/officeDocument/2006/relationships/hyperlink" Target="https://drive.google.com/file/d/1GrzXCVgwDF8UfGO1AfkWqtFgj2pIE5vD/view?usp=drive_link" TargetMode="External"/><Relationship Id="rId4" Type="http://schemas.openxmlformats.org/officeDocument/2006/relationships/hyperlink" Target="https://drive.google.com/file/d/1OkvGqKHe-n2PRhzUCvp4L5XEsUcuKTdi/view?usp=drive_link" TargetMode="External"/><Relationship Id="rId148" Type="http://schemas.openxmlformats.org/officeDocument/2006/relationships/hyperlink" Target="https://drive.google.com/file/d/19_9kFjDOn8wQWhVdNtYwHnRCqdHY21lH/view?usp=drive_link" TargetMode="External"/><Relationship Id="rId269" Type="http://schemas.openxmlformats.org/officeDocument/2006/relationships/hyperlink" Target="https://drive.google.com/file/d/1CFLpaoB0PJaAeJGaOVHg5hxHZGBUb9Yd/view?usp=drive_link" TargetMode="External"/><Relationship Id="rId9" Type="http://schemas.openxmlformats.org/officeDocument/2006/relationships/hyperlink" Target="https://drive.google.com/file/d/1QyPKKiFZ7iUEMnfL2HNzJwcaNoxTZvQP/view?usp=drive_link" TargetMode="External"/><Relationship Id="rId143" Type="http://schemas.openxmlformats.org/officeDocument/2006/relationships/hyperlink" Target="https://drive.google.com/file/d/1R70w-J6hnSRwkIKuc24sorAuPXxybDXt/view?usp=drive_link" TargetMode="External"/><Relationship Id="rId264" Type="http://schemas.openxmlformats.org/officeDocument/2006/relationships/hyperlink" Target="https://drive.google.com/file/d/1PCmAsWdblwctiB_LinQ3C4tRKmqts9WO/view?usp=drive_link" TargetMode="External"/><Relationship Id="rId142" Type="http://schemas.openxmlformats.org/officeDocument/2006/relationships/hyperlink" Target="https://drive.google.com/file/d/1GSlBGwSdkyzO-YhKIh3k3yPxr24yak6J/view?usp=drive_link" TargetMode="External"/><Relationship Id="rId263" Type="http://schemas.openxmlformats.org/officeDocument/2006/relationships/hyperlink" Target="https://drive.google.com/file/d/1GzzGscJ1L9ViD12cBWoAxrGiEevJyPeU/view?usp=drive_link" TargetMode="External"/><Relationship Id="rId141" Type="http://schemas.openxmlformats.org/officeDocument/2006/relationships/hyperlink" Target="https://drive.google.com/file/d/1892BquITuoHZsRDcHFeS0D_mqSjTdfmH/view?usp=drive_link" TargetMode="External"/><Relationship Id="rId262" Type="http://schemas.openxmlformats.org/officeDocument/2006/relationships/hyperlink" Target="https://drive.google.com/file/d/12u3_HiVz8Wl7xMZisxreVj3qpk7SGUL3/view?usp=drive_link" TargetMode="External"/><Relationship Id="rId140" Type="http://schemas.openxmlformats.org/officeDocument/2006/relationships/hyperlink" Target="https://drive.google.com/file/d/1GSlBGwSdkyzO-YhKIh3k3yPxr24yak6J/view?usp=drive_link" TargetMode="External"/><Relationship Id="rId261" Type="http://schemas.openxmlformats.org/officeDocument/2006/relationships/hyperlink" Target="https://drive.google.com/file/d/1NRTrELl9JqEgBA5ZSAxCsi2Dvdbp84pg/view?usp=drive_link" TargetMode="External"/><Relationship Id="rId5" Type="http://schemas.openxmlformats.org/officeDocument/2006/relationships/hyperlink" Target="https://drive.google.com/file/d/17RmHovk8f5wKuPGuP6GP4NEEQaEFWRXX/view?usp=drive_link" TargetMode="External"/><Relationship Id="rId147" Type="http://schemas.openxmlformats.org/officeDocument/2006/relationships/hyperlink" Target="https://drive.google.com/file/d/1iTZ3RmrfiqvZABf6ftySF6UWmzVBCVQb/view?usp=drive_link" TargetMode="External"/><Relationship Id="rId268" Type="http://schemas.openxmlformats.org/officeDocument/2006/relationships/hyperlink" Target="https://drive.google.com/file/d/1CFLpaoB0PJaAeJGaOVHg5hxHZGBUb9Yd/view?usp=drive_link" TargetMode="External"/><Relationship Id="rId6" Type="http://schemas.openxmlformats.org/officeDocument/2006/relationships/hyperlink" Target="https://drive.google.com/file/d/1UsZOjIsESnV7W2MvwNLEQDroUFK3FnT3/view?usp=drive_link" TargetMode="External"/><Relationship Id="rId146" Type="http://schemas.openxmlformats.org/officeDocument/2006/relationships/hyperlink" Target="https://drive.google.com/file/d/1i60fu5YgjqLLyIxFtl_IbArgoqKPtVHV/view?usp=drive_link" TargetMode="External"/><Relationship Id="rId267" Type="http://schemas.openxmlformats.org/officeDocument/2006/relationships/hyperlink" Target="https://drive.google.com/file/d/1OtEnPHVFQte_TNJnKEV16uWqjg3gJR2y/view?usp=drive_link" TargetMode="External"/><Relationship Id="rId7" Type="http://schemas.openxmlformats.org/officeDocument/2006/relationships/hyperlink" Target="https://drive.google.com/file/d/1P-ULuS7Fi26_xk6um3t6iPnMCDKgFLdt/view?usp=drive_link" TargetMode="External"/><Relationship Id="rId145" Type="http://schemas.openxmlformats.org/officeDocument/2006/relationships/hyperlink" Target="https://drive.google.com/file/d/1iTZ3RmrfiqvZABf6ftySF6UWmzVBCVQb/view?usp=drive_link" TargetMode="External"/><Relationship Id="rId266" Type="http://schemas.openxmlformats.org/officeDocument/2006/relationships/hyperlink" Target="https://drive.google.com/file/d/1BIoBRARiSypgpkQps-Ma4XgD70x15JVC/view?usp=drive_link" TargetMode="External"/><Relationship Id="rId8" Type="http://schemas.openxmlformats.org/officeDocument/2006/relationships/hyperlink" Target="https://drive.google.com/file/d/18jbBv30zI-7JoV3ixC07dRDNoCNMgKqW/view?usp=drive_link" TargetMode="External"/><Relationship Id="rId144" Type="http://schemas.openxmlformats.org/officeDocument/2006/relationships/hyperlink" Target="https://drive.google.com/file/d/1SkiI6TP_3wZLU4lyK-WldD5DdufbCp_f/view?usp=drive_link" TargetMode="External"/><Relationship Id="rId265" Type="http://schemas.openxmlformats.org/officeDocument/2006/relationships/hyperlink" Target="https://drive.google.com/file/d/1F9jaC0NwSjVptyaReRXZBtwSVXCCUkeQ/view?usp=drive_link" TargetMode="External"/><Relationship Id="rId260" Type="http://schemas.openxmlformats.org/officeDocument/2006/relationships/hyperlink" Target="https://drive.google.com/file/d/1iZoVnk5tLdNANw2V9Zi0OMHqRseL0keX/view?usp=drive_link" TargetMode="External"/><Relationship Id="rId139" Type="http://schemas.openxmlformats.org/officeDocument/2006/relationships/hyperlink" Target="https://drive.google.com/file/d/1DmAos1RuJf7YCALstxw6FM8C4WEZFT5A/view?usp=drive_link" TargetMode="External"/><Relationship Id="rId138" Type="http://schemas.openxmlformats.org/officeDocument/2006/relationships/hyperlink" Target="https://drive.google.com/file/d/1Kq7JtyxFXKgIbbJ-ZLrBNIyB_LMCGtlA/view?usp=drive_link" TargetMode="External"/><Relationship Id="rId259" Type="http://schemas.openxmlformats.org/officeDocument/2006/relationships/hyperlink" Target="https://drive.google.com/file/d/1iZoVnk5tLdNANw2V9Zi0OMHqRseL0keX/view?usp=drive_link" TargetMode="External"/><Relationship Id="rId137" Type="http://schemas.openxmlformats.org/officeDocument/2006/relationships/hyperlink" Target="https://drive.google.com/file/d/1VfFct1gd6H58Los-G2gu_3cs12Msk9aT/view?usp=drive_link" TargetMode="External"/><Relationship Id="rId258" Type="http://schemas.openxmlformats.org/officeDocument/2006/relationships/hyperlink" Target="https://drive.google.com/file/d/1iZoVnk5tLdNANw2V9Zi0OMHqRseL0keX/view?usp=drive_link" TargetMode="External"/><Relationship Id="rId132" Type="http://schemas.openxmlformats.org/officeDocument/2006/relationships/hyperlink" Target="https://drive.google.com/file/d/1MKVmp1g8MPZ-78AwHctCZocAMrMg6WZ8/view?usp=drive_link" TargetMode="External"/><Relationship Id="rId253" Type="http://schemas.openxmlformats.org/officeDocument/2006/relationships/hyperlink" Target="https://drive.google.com/file/d/1NUN_t3ObgQBmH8kElzHGCPzBQKK5mS7f/view?usp=drive_link" TargetMode="External"/><Relationship Id="rId131" Type="http://schemas.openxmlformats.org/officeDocument/2006/relationships/hyperlink" Target="https://drive.google.com/file/d/1yokOFlQPwQRRxrGGqqACBJ6L6jMBt-m6/view?usp=drive_link" TargetMode="External"/><Relationship Id="rId252" Type="http://schemas.openxmlformats.org/officeDocument/2006/relationships/hyperlink" Target="https://drive.google.com/file/d/1NUN_t3ObgQBmH8kElzHGCPzBQKK5mS7f/view?usp=drive_link" TargetMode="External"/><Relationship Id="rId130" Type="http://schemas.openxmlformats.org/officeDocument/2006/relationships/hyperlink" Target="https://drive.google.com/file/d/1yokOFlQPwQRRxrGGqqACBJ6L6jMBt-m6/view?usp=drive_link" TargetMode="External"/><Relationship Id="rId251" Type="http://schemas.openxmlformats.org/officeDocument/2006/relationships/hyperlink" Target="https://drive.google.com/file/d/1NUN_t3ObgQBmH8kElzHGCPzBQKK5mS7f/view?usp=drive_link" TargetMode="External"/><Relationship Id="rId250" Type="http://schemas.openxmlformats.org/officeDocument/2006/relationships/hyperlink" Target="https://drive.google.com/file/d/1ib3I_hYzTxjsA8Ee7xOypB_tivGqMbDM/view?usp=drive_link" TargetMode="External"/><Relationship Id="rId136" Type="http://schemas.openxmlformats.org/officeDocument/2006/relationships/hyperlink" Target="https://drive.google.com/file/d/1Kq7JtyxFXKgIbbJ-ZLrBNIyB_LMCGtlA/view?usp=drive_link" TargetMode="External"/><Relationship Id="rId257" Type="http://schemas.openxmlformats.org/officeDocument/2006/relationships/hyperlink" Target="https://drive.google.com/file/d/1iZoVnk5tLdNANw2V9Zi0OMHqRseL0keX/view?usp=drive_link" TargetMode="External"/><Relationship Id="rId135" Type="http://schemas.openxmlformats.org/officeDocument/2006/relationships/hyperlink" Target="https://drive.google.com/file/d/1A5ksQ-FW9IzGcU2MqlmgfCynqTFush9w/view?usp=drive_link" TargetMode="External"/><Relationship Id="rId256" Type="http://schemas.openxmlformats.org/officeDocument/2006/relationships/hyperlink" Target="https://drive.google.com/file/d/1iZoVnk5tLdNANw2V9Zi0OMHqRseL0keX/view?usp=drive_link" TargetMode="External"/><Relationship Id="rId134" Type="http://schemas.openxmlformats.org/officeDocument/2006/relationships/hyperlink" Target="https://drive.google.com/file/d/1K8slF3oyCGZBOGqwQUdf0_b34wpx_2A9/view?usp=drive_link" TargetMode="External"/><Relationship Id="rId255" Type="http://schemas.openxmlformats.org/officeDocument/2006/relationships/hyperlink" Target="https://drive.google.com/file/d/1cnzvKcfbA01yIOvqkQtMjV0Df9d8a2hi/view?usp=drive_link" TargetMode="External"/><Relationship Id="rId133" Type="http://schemas.openxmlformats.org/officeDocument/2006/relationships/hyperlink" Target="https://drive.google.com/file/d/1PFUrD24_El0FVSmqEnZQHi2hxCcVSj_F/view?usp=drive_link" TargetMode="External"/><Relationship Id="rId254" Type="http://schemas.openxmlformats.org/officeDocument/2006/relationships/hyperlink" Target="https://drive.google.com/file/d/1IT7FEKI8lYSHkin1_MfiNeenunrCVmuR/view?usp=drive_link" TargetMode="External"/><Relationship Id="rId172" Type="http://schemas.openxmlformats.org/officeDocument/2006/relationships/hyperlink" Target="https://drive.google.com/file/d/1k-z-gTmEXVyFonX-KsSL-DbZbpDAXJRf/view?usp=drive_link" TargetMode="External"/><Relationship Id="rId293" Type="http://schemas.openxmlformats.org/officeDocument/2006/relationships/hyperlink" Target="https://drive.google.com/file/d/1X60od412TeaGdRZh_9LY0ZtgjIKNGfNV/view?usp=drive_link" TargetMode="External"/><Relationship Id="rId171" Type="http://schemas.openxmlformats.org/officeDocument/2006/relationships/hyperlink" Target="https://drive.google.com/file/d/1k-z-gTmEXVyFonX-KsSL-DbZbpDAXJRf/view?usp=drive_link" TargetMode="External"/><Relationship Id="rId292" Type="http://schemas.openxmlformats.org/officeDocument/2006/relationships/hyperlink" Target="https://drive.google.com/file/d/1TRDbXX10gfjD5qngAR25ML6yogwHAiHx/view?usp=drive_link" TargetMode="External"/><Relationship Id="rId170" Type="http://schemas.openxmlformats.org/officeDocument/2006/relationships/hyperlink" Target="https://drive.google.com/file/d/1PpBlLfjv04RigU290bR0xDwjnfSTfQUc/view?usp=drive_link" TargetMode="External"/><Relationship Id="rId291" Type="http://schemas.openxmlformats.org/officeDocument/2006/relationships/hyperlink" Target="https://drive.google.com/file/d/1BIoBRARiSypgpkQps-Ma4XgD70x15JVC/view?usp=drive_link" TargetMode="External"/><Relationship Id="rId290" Type="http://schemas.openxmlformats.org/officeDocument/2006/relationships/hyperlink" Target="https://drive.google.com/file/d/19Vn9IcC8qnXrLwT_ogE1TZWRw1Vfoftm/view?usp=drive_link" TargetMode="External"/><Relationship Id="rId165" Type="http://schemas.openxmlformats.org/officeDocument/2006/relationships/hyperlink" Target="https://drive.google.com/file/d/11yz7z0A0e_cT3JDoxd2P7DEQR5p0_dzs/view?usp=drive_link" TargetMode="External"/><Relationship Id="rId286" Type="http://schemas.openxmlformats.org/officeDocument/2006/relationships/hyperlink" Target="https://drive.google.com/file/d/1b22saID97tVVjT37UoOXO6OI5779OrcG/view?usp=drive_link" TargetMode="External"/><Relationship Id="rId164" Type="http://schemas.openxmlformats.org/officeDocument/2006/relationships/hyperlink" Target="https://drive.google.com/file/d/11yz7z0A0e_cT3JDoxd2P7DEQR5p0_dzs/view?usp=drive_link" TargetMode="External"/><Relationship Id="rId285" Type="http://schemas.openxmlformats.org/officeDocument/2006/relationships/hyperlink" Target="https://drive.google.com/file/d/16RP8aii09haG5ue3mGvooSt_MHF_lUnA/view?usp=drive_link" TargetMode="External"/><Relationship Id="rId163" Type="http://schemas.openxmlformats.org/officeDocument/2006/relationships/hyperlink" Target="https://drive.google.com/file/d/11yz7z0A0e_cT3JDoxd2P7DEQR5p0_dzs/view?usp=drive_link" TargetMode="External"/><Relationship Id="rId284" Type="http://schemas.openxmlformats.org/officeDocument/2006/relationships/hyperlink" Target="https://drive.google.com/file/d/1b22saID97tVVjT37UoOXO6OI5779OrcG/view?usp=drive_link" TargetMode="External"/><Relationship Id="rId162" Type="http://schemas.openxmlformats.org/officeDocument/2006/relationships/hyperlink" Target="https://drive.google.com/file/d/1GUzZr8Be0MhhqLZwvhQnTE1Spy2WaKTh/view?usp=drive_link" TargetMode="External"/><Relationship Id="rId283" Type="http://schemas.openxmlformats.org/officeDocument/2006/relationships/hyperlink" Target="https://drive.google.com/file/d/1fpCeEV7A7meQy6zypbHpB7nIoKoKFgUx/view?usp=drive_link" TargetMode="External"/><Relationship Id="rId169" Type="http://schemas.openxmlformats.org/officeDocument/2006/relationships/hyperlink" Target="https://drive.google.com/file/d/1vf-3BnsBsHcrJ9SMT7FpJiks43AJoIRm/view?usp=drive_link" TargetMode="External"/><Relationship Id="rId168" Type="http://schemas.openxmlformats.org/officeDocument/2006/relationships/hyperlink" Target="https://drive.google.com/file/d/1Nfe9hi4hvThhQvh0AVzY4S1L7gG4dre8/view?usp=drive_link" TargetMode="External"/><Relationship Id="rId289" Type="http://schemas.openxmlformats.org/officeDocument/2006/relationships/hyperlink" Target="https://drive.google.com/file/d/10Q8790UjJ3xq_rhHhXPS0nhc6frdy3p2/view?usp=drive_link" TargetMode="External"/><Relationship Id="rId167" Type="http://schemas.openxmlformats.org/officeDocument/2006/relationships/hyperlink" Target="https://drive.google.com/file/d/1g2snyGqEAtxnGqzWsTygT6lKvfOzCMcK/view?usp=drive_link" TargetMode="External"/><Relationship Id="rId288" Type="http://schemas.openxmlformats.org/officeDocument/2006/relationships/hyperlink" Target="https://drive.google.com/file/d/19Vn9IcC8qnXrLwT_ogE1TZWRw1Vfoftm/view?usp=drive_link" TargetMode="External"/><Relationship Id="rId166" Type="http://schemas.openxmlformats.org/officeDocument/2006/relationships/hyperlink" Target="https://drive.google.com/file/d/11yz7z0A0e_cT3JDoxd2P7DEQR5p0_dzs/view?usp=drive_link" TargetMode="External"/><Relationship Id="rId287" Type="http://schemas.openxmlformats.org/officeDocument/2006/relationships/hyperlink" Target="https://drive.google.com/file/d/1WF7uFpFXOn_WbtSL5c0mqdqJ8n8iz3-z/view?usp=drive_link" TargetMode="External"/><Relationship Id="rId161" Type="http://schemas.openxmlformats.org/officeDocument/2006/relationships/hyperlink" Target="https://drive.google.com/file/d/1yokOFlQPwQRRxrGGqqACBJ6L6jMBt-m6/view?usp=drive_link" TargetMode="External"/><Relationship Id="rId282" Type="http://schemas.openxmlformats.org/officeDocument/2006/relationships/hyperlink" Target="https://drive.google.com/file/d/1b22saID97tVVjT37UoOXO6OI5779OrcG/view?usp=drive_link" TargetMode="External"/><Relationship Id="rId160" Type="http://schemas.openxmlformats.org/officeDocument/2006/relationships/hyperlink" Target="https://drive.google.com/file/d/1yokOFlQPwQRRxrGGqqACBJ6L6jMBt-m6/view?usp=drive_link" TargetMode="External"/><Relationship Id="rId281" Type="http://schemas.openxmlformats.org/officeDocument/2006/relationships/hyperlink" Target="https://drive.google.com/file/d/1yqrPxNrLFtVBDDlil2Xd-Iw2GjMaSSp8/view?usp=drive_link" TargetMode="External"/><Relationship Id="rId280" Type="http://schemas.openxmlformats.org/officeDocument/2006/relationships/hyperlink" Target="https://drive.google.com/file/d/1wI0apirCrSUSQSXzYB8EYnSrgD6CfKMg/view?usp=drive_link" TargetMode="External"/><Relationship Id="rId159" Type="http://schemas.openxmlformats.org/officeDocument/2006/relationships/hyperlink" Target="https://drive.google.com/file/d/1yokOFlQPwQRRxrGGqqACBJ6L6jMBt-m6/view?usp=drive_link" TargetMode="External"/><Relationship Id="rId154" Type="http://schemas.openxmlformats.org/officeDocument/2006/relationships/hyperlink" Target="https://drive.google.com/file/d/1wwrqwH0S48k1oBad--A4_7zn8zuFKH-x/view?usp=drive_link" TargetMode="External"/><Relationship Id="rId275" Type="http://schemas.openxmlformats.org/officeDocument/2006/relationships/hyperlink" Target="https://drive.google.com/file/d/1CtibVFAXcoLdmpCOYFwobKolG4pqiMIa/view?usp=drive_link" TargetMode="External"/><Relationship Id="rId153" Type="http://schemas.openxmlformats.org/officeDocument/2006/relationships/hyperlink" Target="https://drive.google.com/file/d/1wwrqwH0S48k1oBad--A4_7zn8zuFKH-x/view?usp=drive_link" TargetMode="External"/><Relationship Id="rId274" Type="http://schemas.openxmlformats.org/officeDocument/2006/relationships/hyperlink" Target="https://drive.google.com/file/d/107rRdhiBPAnuwabXW1vGMALOpTnnxQZs/view?usp=drive_link" TargetMode="External"/><Relationship Id="rId152" Type="http://schemas.openxmlformats.org/officeDocument/2006/relationships/hyperlink" Target="https://drive.google.com/file/d/1wwrqwH0S48k1oBad--A4_7zn8zuFKH-x/view?usp=drive_link" TargetMode="External"/><Relationship Id="rId273" Type="http://schemas.openxmlformats.org/officeDocument/2006/relationships/hyperlink" Target="https://drive.google.com/file/d/1CtibVFAXcoLdmpCOYFwobKolG4pqiMIa/view?usp=drive_link" TargetMode="External"/><Relationship Id="rId151" Type="http://schemas.openxmlformats.org/officeDocument/2006/relationships/hyperlink" Target="https://drive.google.com/file/d/1wwrqwH0S48k1oBad--A4_7zn8zuFKH-x/view?usp=drive_link" TargetMode="External"/><Relationship Id="rId272" Type="http://schemas.openxmlformats.org/officeDocument/2006/relationships/hyperlink" Target="https://drive.google.com/file/d/1Up7S14zXoeGke3MIqY3UtH2WQPImQO6S/view?usp=drive_link" TargetMode="External"/><Relationship Id="rId158" Type="http://schemas.openxmlformats.org/officeDocument/2006/relationships/hyperlink" Target="https://drive.google.com/file/d/1yokOFlQPwQRRxrGGqqACBJ6L6jMBt-m6/view?usp=drive_link" TargetMode="External"/><Relationship Id="rId279" Type="http://schemas.openxmlformats.org/officeDocument/2006/relationships/hyperlink" Target="https://drive.google.com/file/d/1CtibVFAXcoLdmpCOYFwobKolG4pqiMIa/view?usp=drive_link" TargetMode="External"/><Relationship Id="rId157" Type="http://schemas.openxmlformats.org/officeDocument/2006/relationships/hyperlink" Target="https://drive.google.com/file/d/1wwrqwH0S48k1oBad--A4_7zn8zuFKH-x/view?usp=drive_link" TargetMode="External"/><Relationship Id="rId278" Type="http://schemas.openxmlformats.org/officeDocument/2006/relationships/hyperlink" Target="https://drive.google.com/file/d/1CtibVFAXcoLdmpCOYFwobKolG4pqiMIa/view?usp=drive_link" TargetMode="External"/><Relationship Id="rId156" Type="http://schemas.openxmlformats.org/officeDocument/2006/relationships/hyperlink" Target="https://drive.google.com/file/d/1wwrqwH0S48k1oBad--A4_7zn8zuFKH-x/view?usp=drive_link" TargetMode="External"/><Relationship Id="rId277" Type="http://schemas.openxmlformats.org/officeDocument/2006/relationships/hyperlink" Target="https://drive.google.com/file/d/1CtibVFAXcoLdmpCOYFwobKolG4pqiMIa/view?usp=drive_link" TargetMode="External"/><Relationship Id="rId155" Type="http://schemas.openxmlformats.org/officeDocument/2006/relationships/hyperlink" Target="https://drive.google.com/file/d/1wwrqwH0S48k1oBad--A4_7zn8zuFKH-x/view?usp=drive_link" TargetMode="External"/><Relationship Id="rId276" Type="http://schemas.openxmlformats.org/officeDocument/2006/relationships/hyperlink" Target="https://drive.google.com/file/d/1CtibVFAXcoLdmpCOYFwobKolG4pqiMIa/view?usp=drive_link" TargetMode="External"/><Relationship Id="rId40" Type="http://schemas.openxmlformats.org/officeDocument/2006/relationships/hyperlink" Target="https://drive.google.com/file/d/1_mVpCWtll4ZqhBOD48UIGbJFHwgsFKlZ/view?usp=drive_link" TargetMode="External"/><Relationship Id="rId42" Type="http://schemas.openxmlformats.org/officeDocument/2006/relationships/hyperlink" Target="https://drive.google.com/file/d/1_mVpCWtll4ZqhBOD48UIGbJFHwgsFKlZ/view?usp=drive_link" TargetMode="External"/><Relationship Id="rId41" Type="http://schemas.openxmlformats.org/officeDocument/2006/relationships/hyperlink" Target="https://drive.google.com/file/d/1_mVpCWtll4ZqhBOD48UIGbJFHwgsFKlZ/view?usp=drive_link" TargetMode="External"/><Relationship Id="rId44" Type="http://schemas.openxmlformats.org/officeDocument/2006/relationships/hyperlink" Target="https://drive.google.com/file/d/1_mVpCWtll4ZqhBOD48UIGbJFHwgsFKlZ/view?usp=drive_link" TargetMode="External"/><Relationship Id="rId43" Type="http://schemas.openxmlformats.org/officeDocument/2006/relationships/hyperlink" Target="https://drive.google.com/file/d/1_mVpCWtll4ZqhBOD48UIGbJFHwgsFKlZ/view?usp=drive_link" TargetMode="External"/><Relationship Id="rId46" Type="http://schemas.openxmlformats.org/officeDocument/2006/relationships/hyperlink" Target="https://drive.google.com/file/d/1_mVpCWtll4ZqhBOD48UIGbJFHwgsFKlZ/view?usp=drive_link" TargetMode="External"/><Relationship Id="rId45" Type="http://schemas.openxmlformats.org/officeDocument/2006/relationships/hyperlink" Target="https://drive.google.com/file/d/1_mVpCWtll4ZqhBOD48UIGbJFHwgsFKlZ/view?usp=drive_link" TargetMode="External"/><Relationship Id="rId48" Type="http://schemas.openxmlformats.org/officeDocument/2006/relationships/hyperlink" Target="https://drive.google.com/file/d/1ao0vLqbUvkCQBoe_NipC0nS5QdcfRnKH/view?usp=drive_link" TargetMode="External"/><Relationship Id="rId47" Type="http://schemas.openxmlformats.org/officeDocument/2006/relationships/hyperlink" Target="https://drive.google.com/file/d/16Put7VWtmF2imo4OOHUm4035Q8ZeDayC/view?usp=drive_link" TargetMode="External"/><Relationship Id="rId49" Type="http://schemas.openxmlformats.org/officeDocument/2006/relationships/hyperlink" Target="https://drive.google.com/file/d/1mtGceB1x02d5N_peUStW1Zk4ig79wwHm/view?usp=drive_link" TargetMode="External"/><Relationship Id="rId31" Type="http://schemas.openxmlformats.org/officeDocument/2006/relationships/hyperlink" Target="https://drive.google.com/file/d/1RB_N9gluNC5nwBLCerzs037gcWVBE2mB/view?usp=drive_link" TargetMode="External"/><Relationship Id="rId30" Type="http://schemas.openxmlformats.org/officeDocument/2006/relationships/hyperlink" Target="https://drive.google.com/file/d/1LDngfXayJXpdOrissdqbrcjIjCg01Fnn/view?usp=drive_link" TargetMode="External"/><Relationship Id="rId33" Type="http://schemas.openxmlformats.org/officeDocument/2006/relationships/hyperlink" Target="https://drive.google.com/file/d/1_oEwTPBo38lvurd4EWfQ0c5-IPy0E5mU/view?usp=drive_link" TargetMode="External"/><Relationship Id="rId32" Type="http://schemas.openxmlformats.org/officeDocument/2006/relationships/hyperlink" Target="https://drive.google.com/file/d/1ES6rmQ5uPqIyof3F_CCIHBVpU7MJXSSC/view?usp=drive_link" TargetMode="External"/><Relationship Id="rId35" Type="http://schemas.openxmlformats.org/officeDocument/2006/relationships/hyperlink" Target="https://drive.google.com/file/d/1DZe78ibrqrWyi1EF3LlntD6u970J4_yB/view?usp=drive_link" TargetMode="External"/><Relationship Id="rId34" Type="http://schemas.openxmlformats.org/officeDocument/2006/relationships/hyperlink" Target="https://drive.google.com/file/d/1tRUcfOZf6PQDtj5PoHBds66OR8HQ9Wup/view?usp=drive_link" TargetMode="External"/><Relationship Id="rId37" Type="http://schemas.openxmlformats.org/officeDocument/2006/relationships/hyperlink" Target="https://drive.google.com/file/d/12HVKRRuT14ph3tOBRSQr0hL80vran5Fk/view?usp=drive_link" TargetMode="External"/><Relationship Id="rId36" Type="http://schemas.openxmlformats.org/officeDocument/2006/relationships/hyperlink" Target="https://drive.google.com/file/d/1z76eoWSzlOnCZFmnb2REN8hwxskqHlS6/view?usp=drive_link" TargetMode="External"/><Relationship Id="rId39" Type="http://schemas.openxmlformats.org/officeDocument/2006/relationships/hyperlink" Target="https://drive.google.com/file/d/1_mVpCWtll4ZqhBOD48UIGbJFHwgsFKlZ/view?usp=drive_link" TargetMode="External"/><Relationship Id="rId38" Type="http://schemas.openxmlformats.org/officeDocument/2006/relationships/hyperlink" Target="https://drive.google.com/file/d/17EUG4Yry7j5-9WTDKvn8MRU6acleACAk/view?usp=drive_link" TargetMode="External"/><Relationship Id="rId20" Type="http://schemas.openxmlformats.org/officeDocument/2006/relationships/hyperlink" Target="https://drive.google.com/file/d/1FvLFz3BpNMlmeNqZ5rxKRxDy_EbQThlf/view?usp=drive_link" TargetMode="External"/><Relationship Id="rId22" Type="http://schemas.openxmlformats.org/officeDocument/2006/relationships/hyperlink" Target="https://drive.google.com/file/d/1FvLFz3BpNMlmeNqZ5rxKRxDy_EbQThlf/view?usp=drive_link" TargetMode="External"/><Relationship Id="rId21" Type="http://schemas.openxmlformats.org/officeDocument/2006/relationships/hyperlink" Target="https://drive.google.com/file/d/1GjA0ohdkIhwV81eUdU0RVD1z1jB0Hg9v/view?usp=drive_link" TargetMode="External"/><Relationship Id="rId24" Type="http://schemas.openxmlformats.org/officeDocument/2006/relationships/hyperlink" Target="https://drive.google.com/file/d/1P2m4FHEv7xHDjC1Aq53_iR2MK-tUf2K0/view?usp=drive_link" TargetMode="External"/><Relationship Id="rId23" Type="http://schemas.openxmlformats.org/officeDocument/2006/relationships/hyperlink" Target="https://drive.google.com/file/d/1jjLuAxcyZt0Z7FR3vh7urFhlwuqAC9te/view?usp=drive_link" TargetMode="External"/><Relationship Id="rId26" Type="http://schemas.openxmlformats.org/officeDocument/2006/relationships/hyperlink" Target="https://drive.google.com/file/d/1dOx-3JrxXF7sa7Yn_pbjT7xCFyL7F5_d/view?usp=drive_link" TargetMode="External"/><Relationship Id="rId25" Type="http://schemas.openxmlformats.org/officeDocument/2006/relationships/hyperlink" Target="https://drive.google.com/file/d/17KjXXjX8jzN68qVw5KMYkF3Ju3w-a7dN/view?usp=drive_link" TargetMode="External"/><Relationship Id="rId28" Type="http://schemas.openxmlformats.org/officeDocument/2006/relationships/hyperlink" Target="https://drive.google.com/file/d/1tLvo2QbrILywzWQRrotNV8a47em2f8q2/view?usp=drive_link" TargetMode="External"/><Relationship Id="rId27" Type="http://schemas.openxmlformats.org/officeDocument/2006/relationships/hyperlink" Target="https://drive.google.com/file/d/1Y5VlPrh2E3t_EdUh_RpHPU6gUPl4XoLv/view?usp=drive_link" TargetMode="External"/><Relationship Id="rId29" Type="http://schemas.openxmlformats.org/officeDocument/2006/relationships/hyperlink" Target="https://drive.google.com/file/d/182Iuqprvqnns5j2CJdc6NXXMd4rvFTBS/view?usp=drive_link" TargetMode="External"/><Relationship Id="rId11" Type="http://schemas.openxmlformats.org/officeDocument/2006/relationships/hyperlink" Target="https://drive.google.com/file/d/1jXzpwCn0HPwWpjX3zuLbZDrcP72IyoPx/view?usp=drive_link" TargetMode="External"/><Relationship Id="rId10" Type="http://schemas.openxmlformats.org/officeDocument/2006/relationships/hyperlink" Target="https://drive.google.com/file/d/1wvlm5vWDGLeaoaP0a5XmKLNE15s1a_ZT/view?usp=drive_link" TargetMode="External"/><Relationship Id="rId13" Type="http://schemas.openxmlformats.org/officeDocument/2006/relationships/hyperlink" Target="https://drive.google.com/file/d/1ZEXPQmvTgehTZoZHTCsyfpxl7cJda2la/view?usp=drive_link" TargetMode="External"/><Relationship Id="rId12" Type="http://schemas.openxmlformats.org/officeDocument/2006/relationships/hyperlink" Target="https://drive.google.com/file/d/1ySRnKyR0Co3blFiDU-ULSrIYFztqc8e-/view?usp=drive_link" TargetMode="External"/><Relationship Id="rId15" Type="http://schemas.openxmlformats.org/officeDocument/2006/relationships/hyperlink" Target="https://drive.google.com/file/d/1JnrEzltsRhDFBs1yjQI3-T49A3J9yVPe/view?usp=drive_link" TargetMode="External"/><Relationship Id="rId14" Type="http://schemas.openxmlformats.org/officeDocument/2006/relationships/hyperlink" Target="https://drive.google.com/file/d/1soCQxnEFf1h3U_K5SGAabnm37nJI9csB/view?usp=drive_link" TargetMode="External"/><Relationship Id="rId17" Type="http://schemas.openxmlformats.org/officeDocument/2006/relationships/hyperlink" Target="https://drive.google.com/file/d/1jGaFPTI5ddWLySc4j4EUI-a5qa0oPnsv/view?usp=drive_link" TargetMode="External"/><Relationship Id="rId16" Type="http://schemas.openxmlformats.org/officeDocument/2006/relationships/hyperlink" Target="https://drive.google.com/file/d/1_hDNZ5vaYUO2IrPQoIHOph_i_3ObdXWM/view?usp=drive_link" TargetMode="External"/><Relationship Id="rId19" Type="http://schemas.openxmlformats.org/officeDocument/2006/relationships/hyperlink" Target="https://drive.google.com/file/d/1wmQNhtiym6EUZd9Y-it1YElnqSeEQfSB/view?usp=drive_link" TargetMode="External"/><Relationship Id="rId18" Type="http://schemas.openxmlformats.org/officeDocument/2006/relationships/hyperlink" Target="https://drive.google.com/file/d/1wGQwdo_NVJnHib8I_5oox-eL0P6RMXVc/view?usp=drive_link" TargetMode="External"/><Relationship Id="rId84" Type="http://schemas.openxmlformats.org/officeDocument/2006/relationships/hyperlink" Target="https://drive.google.com/file/d/155sy_PbauRZl_boz3yJVlk-ee3oZIqNQ/view?usp=drive_link" TargetMode="External"/><Relationship Id="rId83" Type="http://schemas.openxmlformats.org/officeDocument/2006/relationships/hyperlink" Target="https://drive.google.com/file/d/1bPp7sj3zEr3HYld1G_2IAKnnQ5e_2NV7/view?usp=drive_link" TargetMode="External"/><Relationship Id="rId86" Type="http://schemas.openxmlformats.org/officeDocument/2006/relationships/hyperlink" Target="https://drive.google.com/file/d/1LXfTB2uJ7gRH-6Tm70FeVTz3YNC1PCF4/view?usp=drive_link" TargetMode="External"/><Relationship Id="rId85" Type="http://schemas.openxmlformats.org/officeDocument/2006/relationships/hyperlink" Target="https://drive.google.com/file/d/1N4DC6CP78ybtuTm3i5GQtvfgMV4EMHYm/view?usp=drive_link" TargetMode="External"/><Relationship Id="rId88" Type="http://schemas.openxmlformats.org/officeDocument/2006/relationships/hyperlink" Target="https://drive.google.com/file/d/1HfDJDZi6M9RIOSMmFLeSvpFF7cKpHTyW/view?usp=drive_link" TargetMode="External"/><Relationship Id="rId87" Type="http://schemas.openxmlformats.org/officeDocument/2006/relationships/hyperlink" Target="https://drive.google.com/file/d/1E5KetbQ-UhPBE4C6s5p1ZMIn0Ct6W_XC/view?usp=drive_link" TargetMode="External"/><Relationship Id="rId89" Type="http://schemas.openxmlformats.org/officeDocument/2006/relationships/hyperlink" Target="https://drive.google.com/file/d/1E5KetbQ-UhPBE4C6s5p1ZMIn0Ct6W_XC/view?usp=drive_link" TargetMode="External"/><Relationship Id="rId80" Type="http://schemas.openxmlformats.org/officeDocument/2006/relationships/hyperlink" Target="https://drive.google.com/file/d/1lBLv6JfRQLMvkssO4qsPWAKoswqBcBbY/view?usp=drive_link" TargetMode="External"/><Relationship Id="rId82" Type="http://schemas.openxmlformats.org/officeDocument/2006/relationships/hyperlink" Target="https://drive.google.com/file/d/18TFn-2wAXmwnBhY_bFQDHFjIjmjgNLf1/view?usp=drive_link" TargetMode="External"/><Relationship Id="rId81" Type="http://schemas.openxmlformats.org/officeDocument/2006/relationships/hyperlink" Target="https://drive.google.com/file/d/1_mVpCWtll4ZqhBOD48UIGbJFHwgsFKlZ/view?usp=drive_link" TargetMode="External"/><Relationship Id="rId73" Type="http://schemas.openxmlformats.org/officeDocument/2006/relationships/hyperlink" Target="https://drive.google.com/file/d/16MLIrTMt24MmA29Icu3QR7L4PfqkH1B2/view?usp=drive_link" TargetMode="External"/><Relationship Id="rId72" Type="http://schemas.openxmlformats.org/officeDocument/2006/relationships/hyperlink" Target="https://drive.google.com/file/d/16MLIrTMt24MmA29Icu3QR7L4PfqkH1B2/view?usp=drive_link" TargetMode="External"/><Relationship Id="rId75" Type="http://schemas.openxmlformats.org/officeDocument/2006/relationships/hyperlink" Target="https://drive.google.com/file/d/1YANXQTjFAl0BotdWZGzq2cs9w_wq-yJ3/view?usp=drive_link" TargetMode="External"/><Relationship Id="rId74" Type="http://schemas.openxmlformats.org/officeDocument/2006/relationships/hyperlink" Target="https://drive.google.com/file/d/16MLIrTMt24MmA29Icu3QR7L4PfqkH1B2/view?usp=drive_link" TargetMode="External"/><Relationship Id="rId77" Type="http://schemas.openxmlformats.org/officeDocument/2006/relationships/hyperlink" Target="https://drive.google.com/file/d/1RDD_9ixmpov9wXE57QGYoblgwmsRUaGk/view?usp=drive_link" TargetMode="External"/><Relationship Id="rId76" Type="http://schemas.openxmlformats.org/officeDocument/2006/relationships/hyperlink" Target="https://drive.google.com/file/d/1YANXQTjFAl0BotdWZGzq2cs9w_wq-yJ3/view?usp=drive_link" TargetMode="External"/><Relationship Id="rId79" Type="http://schemas.openxmlformats.org/officeDocument/2006/relationships/hyperlink" Target="https://drive.google.com/file/d/16MLIrTMt24MmA29Icu3QR7L4PfqkH1B2/view?usp=drive_link" TargetMode="External"/><Relationship Id="rId78" Type="http://schemas.openxmlformats.org/officeDocument/2006/relationships/hyperlink" Target="https://drive.google.com/file/d/1YANXQTjFAl0BotdWZGzq2cs9w_wq-yJ3/view?usp=drive_link" TargetMode="External"/><Relationship Id="rId71" Type="http://schemas.openxmlformats.org/officeDocument/2006/relationships/hyperlink" Target="https://drive.google.com/file/d/1SAnKWTI6mRumA-hrXfegpV33XUCjq_M5/view?usp=drive_link" TargetMode="External"/><Relationship Id="rId70" Type="http://schemas.openxmlformats.org/officeDocument/2006/relationships/hyperlink" Target="https://drive.google.com/file/d/16MLIrTMt24MmA29Icu3QR7L4PfqkH1B2/view?usp=drive_link" TargetMode="External"/><Relationship Id="rId62" Type="http://schemas.openxmlformats.org/officeDocument/2006/relationships/hyperlink" Target="https://drive.google.com/file/d/1mtGceB1x02d5N_peUStW1Zk4ig79wwHm/view?usp=drive_link" TargetMode="External"/><Relationship Id="rId61" Type="http://schemas.openxmlformats.org/officeDocument/2006/relationships/hyperlink" Target="https://drive.google.com/file/d/1CCGrN2mqQKGkXKW8cEbLkTqOnckd_l2C/view?usp=drive_link" TargetMode="External"/><Relationship Id="rId64" Type="http://schemas.openxmlformats.org/officeDocument/2006/relationships/hyperlink" Target="https://drive.google.com/file/d/1mtGceB1x02d5N_peUStW1Zk4ig79wwHm/view?usp=drive_link" TargetMode="External"/><Relationship Id="rId63" Type="http://schemas.openxmlformats.org/officeDocument/2006/relationships/hyperlink" Target="https://drive.google.com/file/d/1mtGceB1x02d5N_peUStW1Zk4ig79wwHm/view?usp=drive_link" TargetMode="External"/><Relationship Id="rId66" Type="http://schemas.openxmlformats.org/officeDocument/2006/relationships/hyperlink" Target="https://drive.google.com/file/d/1717R93VvXT45CG4gSBtew03QiLeXNfLg/view?usp=drive_link" TargetMode="External"/><Relationship Id="rId65" Type="http://schemas.openxmlformats.org/officeDocument/2006/relationships/hyperlink" Target="https://drive.google.com/file/d/1717R93VvXT45CG4gSBtew03QiLeXNfLg/view?usp=drive_link" TargetMode="External"/><Relationship Id="rId68" Type="http://schemas.openxmlformats.org/officeDocument/2006/relationships/hyperlink" Target="https://drive.google.com/file/d/1717R93VvXT45CG4gSBtew03QiLeXNfLg/view?usp=drive_link" TargetMode="External"/><Relationship Id="rId67" Type="http://schemas.openxmlformats.org/officeDocument/2006/relationships/hyperlink" Target="https://drive.google.com/file/d/1717R93VvXT45CG4gSBtew03QiLeXNfLg/view?usp=drive_link" TargetMode="External"/><Relationship Id="rId60" Type="http://schemas.openxmlformats.org/officeDocument/2006/relationships/hyperlink" Target="https://drive.google.com/file/d/1H_9_TXGEVpaqYkDYHatquyEymBzge6F4/view?usp=drive_link" TargetMode="External"/><Relationship Id="rId69" Type="http://schemas.openxmlformats.org/officeDocument/2006/relationships/hyperlink" Target="https://drive.google.com/file/d/15nG56z-aozeeBKFbnGAViWnZr3F_pISn/view?usp=drive_link" TargetMode="External"/><Relationship Id="rId51" Type="http://schemas.openxmlformats.org/officeDocument/2006/relationships/hyperlink" Target="https://drive.google.com/file/d/1_mVpCWtll4ZqhBOD48UIGbJFHwgsFKlZ/view?usp=drive_link" TargetMode="External"/><Relationship Id="rId50" Type="http://schemas.openxmlformats.org/officeDocument/2006/relationships/hyperlink" Target="https://drive.google.com/file/d/1FiQ9tz4yEf2Dq3y-47xU1RBRlWP5otpX/view?usp=drive_link" TargetMode="External"/><Relationship Id="rId53" Type="http://schemas.openxmlformats.org/officeDocument/2006/relationships/hyperlink" Target="https://drive.google.com/file/d/1_mVpCWtll4ZqhBOD48UIGbJFHwgsFKlZ/view?usp=drive_link" TargetMode="External"/><Relationship Id="rId52" Type="http://schemas.openxmlformats.org/officeDocument/2006/relationships/hyperlink" Target="https://drive.google.com/file/d/1_mVpCWtll4ZqhBOD48UIGbJFHwgsFKlZ/view?usp=drive_link" TargetMode="External"/><Relationship Id="rId55" Type="http://schemas.openxmlformats.org/officeDocument/2006/relationships/hyperlink" Target="https://drive.google.com/file/d/1_mVpCWtll4ZqhBOD48UIGbJFHwgsFKlZ/view?usp=drive_link" TargetMode="External"/><Relationship Id="rId54" Type="http://schemas.openxmlformats.org/officeDocument/2006/relationships/hyperlink" Target="https://drive.google.com/file/d/1_mVpCWtll4ZqhBOD48UIGbJFHwgsFKlZ/view?usp=drive_link" TargetMode="External"/><Relationship Id="rId57" Type="http://schemas.openxmlformats.org/officeDocument/2006/relationships/hyperlink" Target="https://drive.google.com/file/d/1yMAaums-ujyP9eCtMwg4PPG0CDgOAiPX/view?usp=drive_link" TargetMode="External"/><Relationship Id="rId56" Type="http://schemas.openxmlformats.org/officeDocument/2006/relationships/hyperlink" Target="https://drive.google.com/file/d/1_mVpCWtll4ZqhBOD48UIGbJFHwgsFKlZ/view?usp=drive_link" TargetMode="External"/><Relationship Id="rId59" Type="http://schemas.openxmlformats.org/officeDocument/2006/relationships/hyperlink" Target="https://drive.google.com/file/d/1yMAaums-ujyP9eCtMwg4PPG0CDgOAiPX/view?usp=drive_link" TargetMode="External"/><Relationship Id="rId58" Type="http://schemas.openxmlformats.org/officeDocument/2006/relationships/hyperlink" Target="https://drive.google.com/file/d/1yMAaums-ujyP9eCtMwg4PPG0CDgOAiPX/view?usp=drive_link" TargetMode="External"/><Relationship Id="rId107" Type="http://schemas.openxmlformats.org/officeDocument/2006/relationships/hyperlink" Target="https://drive.google.com/file/d/1paexx4QERZm_-5wn1op1_dEfVKb2E224/view?usp=drive_link" TargetMode="External"/><Relationship Id="rId228" Type="http://schemas.openxmlformats.org/officeDocument/2006/relationships/hyperlink" Target="https://drive.google.com/file/d/1e2MUKg6YxLPP1UbJEKTYKmlQZSE-VYCM/view?usp=drive_link" TargetMode="External"/><Relationship Id="rId106" Type="http://schemas.openxmlformats.org/officeDocument/2006/relationships/hyperlink" Target="https://drive.google.com/file/d/1CERun3araXXzHjoHsJ8hOhnPkbB_seFN/view?usp=drive_link" TargetMode="External"/><Relationship Id="rId227" Type="http://schemas.openxmlformats.org/officeDocument/2006/relationships/hyperlink" Target="https://drive.google.com/file/d/1lrXhxG8qBaKzkygA8pwuS35wP0USdyI9/view?usp=drive_link" TargetMode="External"/><Relationship Id="rId105" Type="http://schemas.openxmlformats.org/officeDocument/2006/relationships/hyperlink" Target="https://drive.google.com/file/d/18bwtFn3cvl4giHo30ZoKcNoCDl3wlcp2/view?usp=drive_link" TargetMode="External"/><Relationship Id="rId226" Type="http://schemas.openxmlformats.org/officeDocument/2006/relationships/hyperlink" Target="https://drive.google.com/file/d/1e2MUKg6YxLPP1UbJEKTYKmlQZSE-VYCM/view?usp=drive_link" TargetMode="External"/><Relationship Id="rId104" Type="http://schemas.openxmlformats.org/officeDocument/2006/relationships/hyperlink" Target="https://drive.google.com/file/d/1YANXQTjFAl0BotdWZGzq2cs9w_wq-yJ3/view?usp=drive_link" TargetMode="External"/><Relationship Id="rId225" Type="http://schemas.openxmlformats.org/officeDocument/2006/relationships/hyperlink" Target="https://drive.google.com/file/d/1BIoBRARiSypgpkQps-Ma4XgD70x15JVC/view?usp=drive_link" TargetMode="External"/><Relationship Id="rId109" Type="http://schemas.openxmlformats.org/officeDocument/2006/relationships/hyperlink" Target="https://drive.google.com/file/d/1iWj2SljJR5H3b5-cgCaUntgc9DpxoKK2/view?usp=drive_link" TargetMode="External"/><Relationship Id="rId108" Type="http://schemas.openxmlformats.org/officeDocument/2006/relationships/hyperlink" Target="https://drive.google.com/file/d/12Xp6bwc33WOcrsy6n4wjkkh7xYbeDICX/view?usp=drive_link" TargetMode="External"/><Relationship Id="rId229" Type="http://schemas.openxmlformats.org/officeDocument/2006/relationships/hyperlink" Target="https://drive.google.com/file/d/1e2MUKg6YxLPP1UbJEKTYKmlQZSE-VYCM/view?usp=drive_link" TargetMode="External"/><Relationship Id="rId220" Type="http://schemas.openxmlformats.org/officeDocument/2006/relationships/hyperlink" Target="https://drive.google.com/file/d/1BIoBRARiSypgpkQps-Ma4XgD70x15JVC/view?usp=drive_link" TargetMode="External"/><Relationship Id="rId103" Type="http://schemas.openxmlformats.org/officeDocument/2006/relationships/hyperlink" Target="https://drive.google.com/file/d/1W5AB4OX-Loiyqoj47A2plmrKtZr7zryV/view?usp=drive_link" TargetMode="External"/><Relationship Id="rId224" Type="http://schemas.openxmlformats.org/officeDocument/2006/relationships/hyperlink" Target="https://drive.google.com/file/d/1pNrPlWs0AjWHqfRE5EnTSZuy-dWBqGxE/view?usp=drive_link" TargetMode="External"/><Relationship Id="rId102" Type="http://schemas.openxmlformats.org/officeDocument/2006/relationships/hyperlink" Target="https://drive.google.com/file/d/16jE_T8HyllmY6qDtmOwbzfReVxgiVwMo/view?usp=drive_link" TargetMode="External"/><Relationship Id="rId223" Type="http://schemas.openxmlformats.org/officeDocument/2006/relationships/hyperlink" Target="https://drive.google.com/file/d/1BIoBRARiSypgpkQps-Ma4XgD70x15JVC/view?usp=drive_link" TargetMode="External"/><Relationship Id="rId101" Type="http://schemas.openxmlformats.org/officeDocument/2006/relationships/hyperlink" Target="https://drive.google.com/file/d/1UEY-d7QRRSiPLxj-jUVYLCUJxcPK19E9/view?usp=drive_link" TargetMode="External"/><Relationship Id="rId222" Type="http://schemas.openxmlformats.org/officeDocument/2006/relationships/hyperlink" Target="https://drive.google.com/file/d/10U1GZZ8B7M8FAxH19xIkMcm5nbbIw5kG/view?usp=drive_link" TargetMode="External"/><Relationship Id="rId100" Type="http://schemas.openxmlformats.org/officeDocument/2006/relationships/hyperlink" Target="https://drive.google.com/file/d/1BtnzoaYnAQHIAPFHsfg1cLbI9hsAbZ70/view?usp=drive_link" TargetMode="External"/><Relationship Id="rId221" Type="http://schemas.openxmlformats.org/officeDocument/2006/relationships/hyperlink" Target="https://drive.google.com/file/d/1T24669_LR2KoguC5itfGunXyLfsqqDXr/view?usp=drive_link" TargetMode="External"/><Relationship Id="rId217" Type="http://schemas.openxmlformats.org/officeDocument/2006/relationships/hyperlink" Target="https://drive.google.com/file/d/1BIoBRARiSypgpkQps-Ma4XgD70x15JVC/view?usp=drive_link" TargetMode="External"/><Relationship Id="rId216" Type="http://schemas.openxmlformats.org/officeDocument/2006/relationships/hyperlink" Target="https://drive.google.com/file/d/1BIoBRARiSypgpkQps-Ma4XgD70x15JVC/view?usp=drive_link" TargetMode="External"/><Relationship Id="rId215" Type="http://schemas.openxmlformats.org/officeDocument/2006/relationships/hyperlink" Target="https://drive.google.com/file/d/1crfaiOZB1pPGm90GPtsVJGGPMsiRSma0/view?usp=drive_link" TargetMode="External"/><Relationship Id="rId214" Type="http://schemas.openxmlformats.org/officeDocument/2006/relationships/hyperlink" Target="https://drive.google.com/file/d/1BIoBRARiSypgpkQps-Ma4XgD70x15JVC/view?usp=drive_link" TargetMode="External"/><Relationship Id="rId335" Type="http://schemas.openxmlformats.org/officeDocument/2006/relationships/drawing" Target="../drawings/drawing4.xml"/><Relationship Id="rId219" Type="http://schemas.openxmlformats.org/officeDocument/2006/relationships/hyperlink" Target="https://drive.google.com/file/d/1BIoBRARiSypgpkQps-Ma4XgD70x15JVC/view?usp=drive_link" TargetMode="External"/><Relationship Id="rId218" Type="http://schemas.openxmlformats.org/officeDocument/2006/relationships/hyperlink" Target="https://drive.google.com/file/d/1BIoBRARiSypgpkQps-Ma4XgD70x15JVC/view?usp=drive_link" TargetMode="External"/><Relationship Id="rId330" Type="http://schemas.openxmlformats.org/officeDocument/2006/relationships/hyperlink" Target="https://drive.google.com/file/d/1Q_jhtP6alVVMVIdk_O7Vy5o9iR-YLeb2/view?usp=drive_link" TargetMode="External"/><Relationship Id="rId213" Type="http://schemas.openxmlformats.org/officeDocument/2006/relationships/hyperlink" Target="https://drive.google.com/file/d/1wsVgj3m1b8fqkwnQAh-5ElX3Bdl7AT2D/view?usp=drive_link" TargetMode="External"/><Relationship Id="rId334" Type="http://schemas.openxmlformats.org/officeDocument/2006/relationships/hyperlink" Target="https://drive.google.com/file/d/1DZe78ibrqrWyi1EF3LlntD6u970J4_yB/view?usp=drive_link" TargetMode="External"/><Relationship Id="rId212" Type="http://schemas.openxmlformats.org/officeDocument/2006/relationships/hyperlink" Target="https://drive.google.com/file/d/1BIoBRARiSypgpkQps-Ma4XgD70x15JVC/view?usp=drive_link" TargetMode="External"/><Relationship Id="rId333" Type="http://schemas.openxmlformats.org/officeDocument/2006/relationships/hyperlink" Target="https://drive.google.com/file/d/1z3va51yHKD6hrNCPPym2Z3yopSncQnnC/view?usp=drive_link" TargetMode="External"/><Relationship Id="rId211" Type="http://schemas.openxmlformats.org/officeDocument/2006/relationships/hyperlink" Target="https://drive.google.com/file/d/1BIoBRARiSypgpkQps-Ma4XgD70x15JVC/view?usp=drive_link" TargetMode="External"/><Relationship Id="rId332" Type="http://schemas.openxmlformats.org/officeDocument/2006/relationships/hyperlink" Target="https://drive.google.com/file/d/1ctLMRzAGOEGY5HvcoDGNjiUUeW16vdL7/view?usp=drive_link" TargetMode="External"/><Relationship Id="rId210" Type="http://schemas.openxmlformats.org/officeDocument/2006/relationships/hyperlink" Target="https://drive.google.com/file/d/1BIoBRARiSypgpkQps-Ma4XgD70x15JVC/view?usp=drive_link" TargetMode="External"/><Relationship Id="rId331" Type="http://schemas.openxmlformats.org/officeDocument/2006/relationships/hyperlink" Target="https://drive.google.com/file/d/1n8vrhPlkdMM6TVAyVF2h8-iZRG8Rs9z9/view?usp=drive_link" TargetMode="External"/><Relationship Id="rId129" Type="http://schemas.openxmlformats.org/officeDocument/2006/relationships/hyperlink" Target="https://drive.google.com/file/d/1yokOFlQPwQRRxrGGqqACBJ6L6jMBt-m6/view?usp=drive_link" TargetMode="External"/><Relationship Id="rId128" Type="http://schemas.openxmlformats.org/officeDocument/2006/relationships/hyperlink" Target="https://drive.google.com/file/d/1yokOFlQPwQRRxrGGqqACBJ6L6jMBt-m6/view?usp=drive_link" TargetMode="External"/><Relationship Id="rId249" Type="http://schemas.openxmlformats.org/officeDocument/2006/relationships/hyperlink" Target="https://drive.google.com/file/d/1pbetDTAz4mvSRgJbKc_Hvog-OwfbdgAt/view?usp=drive_link" TargetMode="External"/><Relationship Id="rId127" Type="http://schemas.openxmlformats.org/officeDocument/2006/relationships/hyperlink" Target="https://drive.google.com/file/d/1yokOFlQPwQRRxrGGqqACBJ6L6jMBt-m6/view?usp=drive_link" TargetMode="External"/><Relationship Id="rId248" Type="http://schemas.openxmlformats.org/officeDocument/2006/relationships/hyperlink" Target="https://drive.google.com/file/d/1IT7FEKI8lYSHkin1_MfiNeenunrCVmuR/view?usp=drive_link" TargetMode="External"/><Relationship Id="rId126" Type="http://schemas.openxmlformats.org/officeDocument/2006/relationships/hyperlink" Target="https://drive.google.com/file/d/1yokOFlQPwQRRxrGGqqACBJ6L6jMBt-m6/view?usp=drive_link" TargetMode="External"/><Relationship Id="rId247" Type="http://schemas.openxmlformats.org/officeDocument/2006/relationships/hyperlink" Target="https://drive.google.com/file/d/1kjejwtHqBhAQwcKF8qgehLibzS8VqQfO/view?usp=drive_link" TargetMode="External"/><Relationship Id="rId121" Type="http://schemas.openxmlformats.org/officeDocument/2006/relationships/hyperlink" Target="https://drive.google.com/file/d/1QQK6PcnoAaUFcwPZRFnsUDQzTevCQ-MY/view?usp=drive_link" TargetMode="External"/><Relationship Id="rId242" Type="http://schemas.openxmlformats.org/officeDocument/2006/relationships/hyperlink" Target="https://drive.google.com/file/d/1x8F57Njy8V0hS2zdjCyTiqbf0Dv-41Xu/view?usp=drive_link" TargetMode="External"/><Relationship Id="rId120" Type="http://schemas.openxmlformats.org/officeDocument/2006/relationships/hyperlink" Target="https://drive.google.com/file/d/10jucGeJcd-woX_wSglMNQ2J7ypDZjx0M/view?usp=drive_link" TargetMode="External"/><Relationship Id="rId241" Type="http://schemas.openxmlformats.org/officeDocument/2006/relationships/hyperlink" Target="https://drive.google.com/file/d/1MgwnIWI1490AU28-1ZVQuIwmUCtpUNXY/view?usp=drive_link" TargetMode="External"/><Relationship Id="rId240" Type="http://schemas.openxmlformats.org/officeDocument/2006/relationships/hyperlink" Target="https://drive.google.com/file/d/1MgwnIWI1490AU28-1ZVQuIwmUCtpUNXY/view?usp=drive_link" TargetMode="External"/><Relationship Id="rId125" Type="http://schemas.openxmlformats.org/officeDocument/2006/relationships/hyperlink" Target="https://drive.google.com/file/d/1yokOFlQPwQRRxrGGqqACBJ6L6jMBt-m6/view?usp=drive_link" TargetMode="External"/><Relationship Id="rId246" Type="http://schemas.openxmlformats.org/officeDocument/2006/relationships/hyperlink" Target="https://drive.google.com/file/d/1ZK5klRLxgrTKQKOqUSNKaNHYrmu5NU4U/view?usp=drive_link" TargetMode="External"/><Relationship Id="rId124" Type="http://schemas.openxmlformats.org/officeDocument/2006/relationships/hyperlink" Target="https://drive.google.com/file/d/1yokOFlQPwQRRxrGGqqACBJ6L6jMBt-m6/view?usp=drive_link" TargetMode="External"/><Relationship Id="rId245" Type="http://schemas.openxmlformats.org/officeDocument/2006/relationships/hyperlink" Target="https://drive.google.com/file/d/1iWQfbo7RLJxt46FsG8W4paF29EJGlGTb/view?usp=drive_link" TargetMode="External"/><Relationship Id="rId123" Type="http://schemas.openxmlformats.org/officeDocument/2006/relationships/hyperlink" Target="https://drive.google.com/file/d/1x1m7qMsVInJtj54Vd3er_UadO6irOh9k/view?usp=drive_link" TargetMode="External"/><Relationship Id="rId244" Type="http://schemas.openxmlformats.org/officeDocument/2006/relationships/hyperlink" Target="https://drive.google.com/file/d/1RJhoV3bzFxDn-QO6kKl1tI8W_btVcca5/view?usp=drive_link" TargetMode="External"/><Relationship Id="rId122" Type="http://schemas.openxmlformats.org/officeDocument/2006/relationships/hyperlink" Target="https://drive.google.com/file/d/10jucGeJcd-woX_wSglMNQ2J7ypDZjx0M/view?usp=drive_link" TargetMode="External"/><Relationship Id="rId243" Type="http://schemas.openxmlformats.org/officeDocument/2006/relationships/hyperlink" Target="https://drive.google.com/file/d/1x8F57Njy8V0hS2zdjCyTiqbf0Dv-41Xu/view?usp=drive_link" TargetMode="External"/><Relationship Id="rId95" Type="http://schemas.openxmlformats.org/officeDocument/2006/relationships/hyperlink" Target="https://drive.google.com/file/d/1E5KetbQ-UhPBE4C6s5p1ZMIn0Ct6W_XC/view?usp=drive_link" TargetMode="External"/><Relationship Id="rId94" Type="http://schemas.openxmlformats.org/officeDocument/2006/relationships/hyperlink" Target="https://drive.google.com/file/d/1wRlza8KVS2F_wZL8-7eCfVdHfl1-Rtz0/view?usp=drive_link" TargetMode="External"/><Relationship Id="rId97" Type="http://schemas.openxmlformats.org/officeDocument/2006/relationships/hyperlink" Target="https://drive.google.com/file/d/1E5KetbQ-UhPBE4C6s5p1ZMIn0Ct6W_XC/view?usp=drive_link" TargetMode="External"/><Relationship Id="rId96" Type="http://schemas.openxmlformats.org/officeDocument/2006/relationships/hyperlink" Target="https://drive.google.com/file/d/1E5KetbQ-UhPBE4C6s5p1ZMIn0Ct6W_XC/view?usp=drive_link" TargetMode="External"/><Relationship Id="rId99" Type="http://schemas.openxmlformats.org/officeDocument/2006/relationships/hyperlink" Target="https://drive.google.com/file/d/1E5KetbQ-UhPBE4C6s5p1ZMIn0Ct6W_XC/view?usp=drive_link" TargetMode="External"/><Relationship Id="rId98" Type="http://schemas.openxmlformats.org/officeDocument/2006/relationships/hyperlink" Target="https://drive.google.com/file/d/1E5KetbQ-UhPBE4C6s5p1ZMIn0Ct6W_XC/view?usp=drive_link" TargetMode="External"/><Relationship Id="rId91" Type="http://schemas.openxmlformats.org/officeDocument/2006/relationships/hyperlink" Target="https://drive.google.com/file/d/1E5KetbQ-UhPBE4C6s5p1ZMIn0Ct6W_XC/view?usp=drive_link" TargetMode="External"/><Relationship Id="rId90" Type="http://schemas.openxmlformats.org/officeDocument/2006/relationships/hyperlink" Target="https://drive.google.com/file/d/1FM6FfENDBydaoCDfrkmv5hvWMuvuGrAj/view?usp=drive_link" TargetMode="External"/><Relationship Id="rId93" Type="http://schemas.openxmlformats.org/officeDocument/2006/relationships/hyperlink" Target="https://drive.google.com/file/d/1E5KetbQ-UhPBE4C6s5p1ZMIn0Ct6W_XC/view?usp=drive_link" TargetMode="External"/><Relationship Id="rId92" Type="http://schemas.openxmlformats.org/officeDocument/2006/relationships/hyperlink" Target="https://drive.google.com/file/d/18XSC1IF_ixx_x1mr6lY-heXKPwMe4j-d/view?usp=drive_link" TargetMode="External"/><Relationship Id="rId118" Type="http://schemas.openxmlformats.org/officeDocument/2006/relationships/hyperlink" Target="https://drive.google.com/file/d/1D_pTQqDhHQF_eOmmWhVt8JoGu3eyGFoz/view?usp=drive_link" TargetMode="External"/><Relationship Id="rId239" Type="http://schemas.openxmlformats.org/officeDocument/2006/relationships/hyperlink" Target="https://drive.google.com/file/d/1BIoBRARiSypgpkQps-Ma4XgD70x15JVC/view?usp=drive_link" TargetMode="External"/><Relationship Id="rId117" Type="http://schemas.openxmlformats.org/officeDocument/2006/relationships/hyperlink" Target="https://drive.google.com/file/d/1S-QgVacyNVOE1jpr8nSHVSGOk3MN8cER/view?usp=drive_link" TargetMode="External"/><Relationship Id="rId238" Type="http://schemas.openxmlformats.org/officeDocument/2006/relationships/hyperlink" Target="https://drive.google.com/file/d/1hdiwhTAeKmHJo_JZvqNCRGBeTJ5b5-VO/view?usp=drive_link" TargetMode="External"/><Relationship Id="rId116" Type="http://schemas.openxmlformats.org/officeDocument/2006/relationships/hyperlink" Target="https://drive.google.com/file/d/1NWRUk9gmzZ290pNwckveScF0gKLHmAcL/view?usp=drive_link" TargetMode="External"/><Relationship Id="rId237" Type="http://schemas.openxmlformats.org/officeDocument/2006/relationships/hyperlink" Target="https://drive.google.com/file/d/1ItomMNeG3FBod8QOd2xziE-9dvMWLxrv/view?usp=drive_link" TargetMode="External"/><Relationship Id="rId115" Type="http://schemas.openxmlformats.org/officeDocument/2006/relationships/hyperlink" Target="https://drive.google.com/file/d/1S-QgVacyNVOE1jpr8nSHVSGOk3MN8cER/view?usp=drive_link" TargetMode="External"/><Relationship Id="rId236" Type="http://schemas.openxmlformats.org/officeDocument/2006/relationships/hyperlink" Target="https://drive.google.com/file/d/1e2MUKg6YxLPP1UbJEKTYKmlQZSE-VYCM/view?usp=drive_link" TargetMode="External"/><Relationship Id="rId119" Type="http://schemas.openxmlformats.org/officeDocument/2006/relationships/hyperlink" Target="https://drive.google.com/file/d/10jucGeJcd-woX_wSglMNQ2J7ypDZjx0M/view?usp=drive_link" TargetMode="External"/><Relationship Id="rId110" Type="http://schemas.openxmlformats.org/officeDocument/2006/relationships/hyperlink" Target="https://drive.google.com/file/d/1eCIk_znge5l8evhZ9xESS9AfXvTUQlBn/view?usp=drive_link" TargetMode="External"/><Relationship Id="rId231" Type="http://schemas.openxmlformats.org/officeDocument/2006/relationships/hyperlink" Target="https://drive.google.com/file/d/1e2MUKg6YxLPP1UbJEKTYKmlQZSE-VYCM/view?usp=drive_link" TargetMode="External"/><Relationship Id="rId230" Type="http://schemas.openxmlformats.org/officeDocument/2006/relationships/hyperlink" Target="https://drive.google.com/file/d/1e2MUKg6YxLPP1UbJEKTYKmlQZSE-VYCM/view?usp=drive_link" TargetMode="External"/><Relationship Id="rId114" Type="http://schemas.openxmlformats.org/officeDocument/2006/relationships/hyperlink" Target="https://drive.google.com/file/d/1Om03gTINHM8OBoprjFGk7bA0wzPcPmuY/view?usp=drive_link" TargetMode="External"/><Relationship Id="rId235" Type="http://schemas.openxmlformats.org/officeDocument/2006/relationships/hyperlink" Target="https://drive.google.com/file/d/115E6XnVBs497GaqgklscZT1FYgYiheTk/view?usp=drive_link" TargetMode="External"/><Relationship Id="rId113" Type="http://schemas.openxmlformats.org/officeDocument/2006/relationships/hyperlink" Target="https://drive.google.com/file/d/1S-QgVacyNVOE1jpr8nSHVSGOk3MN8cER/view?usp=drive_link" TargetMode="External"/><Relationship Id="rId234" Type="http://schemas.openxmlformats.org/officeDocument/2006/relationships/hyperlink" Target="https://drive.google.com/file/d/1zWdadJuRqwgvIFEHedYwN7SH9riBLHTj/view?usp=drive_link" TargetMode="External"/><Relationship Id="rId112" Type="http://schemas.openxmlformats.org/officeDocument/2006/relationships/hyperlink" Target="https://drive.google.com/file/d/1QUZUQh74g2ecc0ixo3NxoUqU6O97ymFN/view?usp=drive_link" TargetMode="External"/><Relationship Id="rId233" Type="http://schemas.openxmlformats.org/officeDocument/2006/relationships/hyperlink" Target="https://drive.google.com/file/d/1jcEYl99gHg797Y9Ayxu9bjPOGWoSy4B5/view?usp=drive_link" TargetMode="External"/><Relationship Id="rId111" Type="http://schemas.openxmlformats.org/officeDocument/2006/relationships/hyperlink" Target="https://drive.google.com/file/d/12HVKRRuT14ph3tOBRSQr0hL80vran5Fk/view?usp=drive_link" TargetMode="External"/><Relationship Id="rId232" Type="http://schemas.openxmlformats.org/officeDocument/2006/relationships/hyperlink" Target="https://drive.google.com/file/d/1BIoBRARiSypgpkQps-Ma4XgD70x15JVC/view?usp=drive_link" TargetMode="External"/><Relationship Id="rId305" Type="http://schemas.openxmlformats.org/officeDocument/2006/relationships/hyperlink" Target="https://drive.google.com/file/d/1APlIy7T_fzRJkX2Or7JjcNGXv1Ygkwei/view?usp=drive_link" TargetMode="External"/><Relationship Id="rId304" Type="http://schemas.openxmlformats.org/officeDocument/2006/relationships/hyperlink" Target="https://drive.google.com/file/d/1JORUcgZ8RvoMRIHVMTl_XrJ67GGUKqMI/view?usp=drive_link" TargetMode="External"/><Relationship Id="rId303" Type="http://schemas.openxmlformats.org/officeDocument/2006/relationships/hyperlink" Target="https://drive.google.com/file/d/1A9pT37nrbMT2AvX_5H8-NC1Sb57W_JtM/view?usp=drive_link" TargetMode="External"/><Relationship Id="rId302" Type="http://schemas.openxmlformats.org/officeDocument/2006/relationships/hyperlink" Target="https://drive.google.com/file/d/1BIoBRARiSypgpkQps-Ma4XgD70x15JVC/view?usp=drive_link" TargetMode="External"/><Relationship Id="rId309" Type="http://schemas.openxmlformats.org/officeDocument/2006/relationships/hyperlink" Target="https://drive.google.com/file/d/1EknJKAD0yIotqXCoNtyfzST1cEE7bIcJ/view?usp=drive_link" TargetMode="External"/><Relationship Id="rId308" Type="http://schemas.openxmlformats.org/officeDocument/2006/relationships/hyperlink" Target="https://drive.google.com/file/d/1c9y9f6g9dtJxhZjycvQH0A6rH6j24zcd/view?usp=drive_link" TargetMode="External"/><Relationship Id="rId307" Type="http://schemas.openxmlformats.org/officeDocument/2006/relationships/hyperlink" Target="https://drive.google.com/file/d/1dNf8Fm0FNTIOiiFUw2cikYUKKIlNR_BB/view?usp=drive_link" TargetMode="External"/><Relationship Id="rId306" Type="http://schemas.openxmlformats.org/officeDocument/2006/relationships/hyperlink" Target="https://drive.google.com/file/d/1Yu5lllZRGD5euIoMYYE_SYhTgwYgeaMD/view?usp=drive_link" TargetMode="External"/><Relationship Id="rId301" Type="http://schemas.openxmlformats.org/officeDocument/2006/relationships/hyperlink" Target="https://drive.google.com/file/d/1BIoBRARiSypgpkQps-Ma4XgD70x15JVC/view?usp=drive_link" TargetMode="External"/><Relationship Id="rId300" Type="http://schemas.openxmlformats.org/officeDocument/2006/relationships/hyperlink" Target="https://drive.google.com/file/d/1czqbr19N1xwyCXV8uUbXO5S8YpqH9b1T/view?usp=drive_link" TargetMode="External"/><Relationship Id="rId206" Type="http://schemas.openxmlformats.org/officeDocument/2006/relationships/hyperlink" Target="https://drive.google.com/file/d/1BIoBRARiSypgpkQps-Ma4XgD70x15JVC/view?usp=drive_link" TargetMode="External"/><Relationship Id="rId327" Type="http://schemas.openxmlformats.org/officeDocument/2006/relationships/hyperlink" Target="https://drive.google.com/file/d/1Q_jhtP6alVVMVIdk_O7Vy5o9iR-YLeb2/view?usp=drive_link" TargetMode="External"/><Relationship Id="rId205" Type="http://schemas.openxmlformats.org/officeDocument/2006/relationships/hyperlink" Target="https://drive.google.com/file/d/1Lc3RzH4_FhZKV4WYgnI2k3pN9Wr6_mpS/view?usp=drive_link" TargetMode="External"/><Relationship Id="rId326" Type="http://schemas.openxmlformats.org/officeDocument/2006/relationships/hyperlink" Target="https://drive.google.com/file/d/1HkL8yltlQfTv7x74GCEEwzzpdmL5A4fq/view?usp=drive_link" TargetMode="External"/><Relationship Id="rId204" Type="http://schemas.openxmlformats.org/officeDocument/2006/relationships/hyperlink" Target="https://drive.google.com/file/d/1BIoBRARiSypgpkQps-Ma4XgD70x15JVC/view?usp=drive_link" TargetMode="External"/><Relationship Id="rId325" Type="http://schemas.openxmlformats.org/officeDocument/2006/relationships/hyperlink" Target="https://drive.google.com/file/d/1TfWUd7OkgKt3Z-HyyfESOV3ttUEFngaX/view?usp=drive_link" TargetMode="External"/><Relationship Id="rId203" Type="http://schemas.openxmlformats.org/officeDocument/2006/relationships/hyperlink" Target="https://drive.google.com/file/d/1o36cJ6GiyU-n3-EJtGd3T8ja42zIRfOL/view?usp=drive_link" TargetMode="External"/><Relationship Id="rId324" Type="http://schemas.openxmlformats.org/officeDocument/2006/relationships/hyperlink" Target="https://drive.google.com/file/d/17LCcnUTwwxKvpqHUBHfxcYUc6U64iig-/view?usp=drive_link" TargetMode="External"/><Relationship Id="rId209" Type="http://schemas.openxmlformats.org/officeDocument/2006/relationships/hyperlink" Target="https://drive.google.com/file/d/1BIoBRARiSypgpkQps-Ma4XgD70x15JVC/view?usp=drive_link" TargetMode="External"/><Relationship Id="rId208" Type="http://schemas.openxmlformats.org/officeDocument/2006/relationships/hyperlink" Target="https://drive.google.com/file/d/1BIoBRARiSypgpkQps-Ma4XgD70x15JVC/view?usp=drive_link" TargetMode="External"/><Relationship Id="rId329" Type="http://schemas.openxmlformats.org/officeDocument/2006/relationships/hyperlink" Target="https://drive.google.com/file/d/1Q_jhtP6alVVMVIdk_O7Vy5o9iR-YLeb2/view?usp=drive_link" TargetMode="External"/><Relationship Id="rId207" Type="http://schemas.openxmlformats.org/officeDocument/2006/relationships/hyperlink" Target="https://drive.google.com/file/d/1VFzy8VOlqivtCYrGj60KQ-JVD9O3SCPm/view?usp=drive_link" TargetMode="External"/><Relationship Id="rId328" Type="http://schemas.openxmlformats.org/officeDocument/2006/relationships/hyperlink" Target="https://drive.google.com/file/d/1wiARt4HNhxKXpdlepG48P74NfSD3NV4Q/view?usp=drive_link" TargetMode="External"/><Relationship Id="rId202" Type="http://schemas.openxmlformats.org/officeDocument/2006/relationships/hyperlink" Target="https://drive.google.com/file/d/1BIoBRARiSypgpkQps-Ma4XgD70x15JVC/view?usp=drive_link" TargetMode="External"/><Relationship Id="rId323" Type="http://schemas.openxmlformats.org/officeDocument/2006/relationships/hyperlink" Target="https://drive.google.com/file/d/10jucGeJcd-woX_wSglMNQ2J7ypDZjx0M/view?usp=drive_link" TargetMode="External"/><Relationship Id="rId201" Type="http://schemas.openxmlformats.org/officeDocument/2006/relationships/hyperlink" Target="https://drive.google.com/file/d/1XJU6i02PgvCYXUOa6qSdmdkiy62NHL6_/view?usp=drive_link" TargetMode="External"/><Relationship Id="rId322" Type="http://schemas.openxmlformats.org/officeDocument/2006/relationships/hyperlink" Target="https://drive.google.com/file/d/1jg7-wHs380AbuoQ8APDqtMcGVpfWB65h/view?usp=share_link" TargetMode="External"/><Relationship Id="rId200" Type="http://schemas.openxmlformats.org/officeDocument/2006/relationships/hyperlink" Target="https://drive.google.com/file/d/1DGROzGLN1LXj5vMUw7JjMRAHd8vVzLDb/view?usp=drive_link" TargetMode="External"/><Relationship Id="rId321" Type="http://schemas.openxmlformats.org/officeDocument/2006/relationships/hyperlink" Target="https://drive.google.com/file/d/1I7J89eMEGU1o05vzxpBms8oQ3OQgDEhr/view?usp=share_link" TargetMode="External"/><Relationship Id="rId320" Type="http://schemas.openxmlformats.org/officeDocument/2006/relationships/hyperlink" Target="https://drive.google.com/file/d/1F2D_xEMYD-k92RF-9-Ehsn1I0wgKVTcC/view?usp=share_link" TargetMode="External"/><Relationship Id="rId316" Type="http://schemas.openxmlformats.org/officeDocument/2006/relationships/hyperlink" Target="https://drive.google.com/file/d/1FIRm02PQV48FfcXscrmt-Yk6SAk9EQ2d/view?usp=drive_link" TargetMode="External"/><Relationship Id="rId315" Type="http://schemas.openxmlformats.org/officeDocument/2006/relationships/hyperlink" Target="https://drive.google.com/file/d/1rYk4qTlPstdb44s_Kqv9q_7UOuEUvPsI/view?usp=drive_link" TargetMode="External"/><Relationship Id="rId314" Type="http://schemas.openxmlformats.org/officeDocument/2006/relationships/hyperlink" Target="https://drive.google.com/file/d/1McuF1xAmHfsyKjwa5uv-LBthsYpOrOL1/view?usp=drive_link" TargetMode="External"/><Relationship Id="rId313" Type="http://schemas.openxmlformats.org/officeDocument/2006/relationships/hyperlink" Target="https://drive.google.com/file/d/1rYk4qTlPstdb44s_Kqv9q_7UOuEUvPsI/view?usp=drive_link" TargetMode="External"/><Relationship Id="rId319" Type="http://schemas.openxmlformats.org/officeDocument/2006/relationships/hyperlink" Target="https://drive.google.com/file/d/1TsaDbQS0VtZM40SJGA9DbUtY9Fcw0M2P/view?usp=share_link" TargetMode="External"/><Relationship Id="rId318" Type="http://schemas.openxmlformats.org/officeDocument/2006/relationships/hyperlink" Target="https://drive.google.com/file/d/1HKA582XMManz5zxwlFbo6Iw7tlOWa_qv/view?usp=share_link" TargetMode="External"/><Relationship Id="rId317" Type="http://schemas.openxmlformats.org/officeDocument/2006/relationships/hyperlink" Target="https://drive.google.com/file/d/17lyeffR7yFvf47yuraVBJhjFk1jKGiSj/view?usp=share_link" TargetMode="External"/><Relationship Id="rId312" Type="http://schemas.openxmlformats.org/officeDocument/2006/relationships/hyperlink" Target="https://drive.google.com/file/d/1KRxVcBZmpIFonE5XXgzfV9cbc4npJRxc/view?usp=drive_link" TargetMode="External"/><Relationship Id="rId311" Type="http://schemas.openxmlformats.org/officeDocument/2006/relationships/hyperlink" Target="https://drive.google.com/file/d/1Z43XueObY9-pP4SHtbe452DOFY_dVSZr/view?usp=drive_link" TargetMode="External"/><Relationship Id="rId310" Type="http://schemas.openxmlformats.org/officeDocument/2006/relationships/hyperlink" Target="https://drive.google.com/file/d/1ev4nSHWUSHK7dLtUXUUCCGyuDMURb4ZW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38"/>
    <col customWidth="1" min="2" max="2" width="17.88"/>
  </cols>
  <sheetData>
    <row r="2">
      <c r="A2" s="2" t="s">
        <v>1</v>
      </c>
      <c r="B2" s="3" t="s">
        <v>2</v>
      </c>
      <c r="C2" s="4" t="s">
        <v>3</v>
      </c>
      <c r="D2" s="2" t="s">
        <v>4</v>
      </c>
      <c r="E2" s="5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6" t="s">
        <v>11</v>
      </c>
      <c r="L2" s="6" t="s">
        <v>12</v>
      </c>
      <c r="M2" s="6" t="s">
        <v>13</v>
      </c>
      <c r="N2" s="7" t="s">
        <v>14</v>
      </c>
      <c r="O2" s="7" t="s">
        <v>15</v>
      </c>
      <c r="P2" s="7" t="s">
        <v>16</v>
      </c>
      <c r="Q2" s="8" t="s">
        <v>17</v>
      </c>
      <c r="R2" s="2" t="s">
        <v>18</v>
      </c>
      <c r="S2" s="9" t="s">
        <v>19</v>
      </c>
      <c r="V2" s="10" t="s">
        <v>7</v>
      </c>
      <c r="W2" s="10" t="s">
        <v>20</v>
      </c>
      <c r="X2" s="10" t="s">
        <v>21</v>
      </c>
    </row>
    <row r="3">
      <c r="A3" s="11" t="s">
        <v>22</v>
      </c>
      <c r="B3" s="12"/>
      <c r="C3" s="13"/>
      <c r="D3" s="13"/>
      <c r="E3" s="14"/>
      <c r="F3" s="13"/>
      <c r="G3" s="13"/>
      <c r="H3" s="13"/>
      <c r="I3" s="13"/>
      <c r="J3" s="13"/>
      <c r="K3" s="15"/>
      <c r="L3" s="15"/>
      <c r="M3" s="15"/>
      <c r="N3" s="15"/>
      <c r="O3" s="15"/>
      <c r="P3" s="15"/>
      <c r="Q3" s="16"/>
      <c r="R3" s="13"/>
      <c r="S3" s="17"/>
    </row>
    <row r="4">
      <c r="A4" s="18" t="s">
        <v>23</v>
      </c>
      <c r="B4" s="19" t="s">
        <v>24</v>
      </c>
      <c r="C4" s="20"/>
      <c r="D4" s="20"/>
      <c r="E4" s="21" t="s">
        <v>25</v>
      </c>
      <c r="F4" s="20"/>
      <c r="G4" s="22"/>
      <c r="H4" s="22"/>
      <c r="I4" s="23">
        <f t="shared" ref="I4:I9" si="1">J4+L4</f>
        <v>10771251</v>
      </c>
      <c r="J4" s="23">
        <v>9703830.0</v>
      </c>
      <c r="K4" s="23">
        <v>8895178.0</v>
      </c>
      <c r="L4" s="24">
        <v>1067421.0</v>
      </c>
      <c r="M4" s="25"/>
      <c r="N4" s="25"/>
      <c r="O4" s="24">
        <f t="shared" ref="O4:O156" si="2">J4*1.5%</f>
        <v>145557.45</v>
      </c>
      <c r="P4" s="24">
        <f t="shared" ref="P4:P156" si="3">J4+M4-O4</f>
        <v>9558272.55</v>
      </c>
      <c r="Q4" s="26"/>
      <c r="R4" s="27"/>
      <c r="S4" s="28">
        <v>2.00250004175494E15</v>
      </c>
    </row>
    <row r="5">
      <c r="A5" s="29" t="s">
        <v>26</v>
      </c>
      <c r="B5" s="30" t="s">
        <v>27</v>
      </c>
      <c r="C5" s="20"/>
      <c r="D5" s="31"/>
      <c r="E5" s="21" t="s">
        <v>28</v>
      </c>
      <c r="F5" s="31"/>
      <c r="G5" s="22"/>
      <c r="H5" s="22"/>
      <c r="I5" s="23">
        <f t="shared" si="1"/>
        <v>6065000</v>
      </c>
      <c r="J5" s="23">
        <v>5463963.0</v>
      </c>
      <c r="K5" s="23">
        <v>5008632.0</v>
      </c>
      <c r="L5" s="24">
        <v>601037.0</v>
      </c>
      <c r="M5" s="25"/>
      <c r="N5" s="25"/>
      <c r="O5" s="24">
        <f t="shared" si="2"/>
        <v>81959.445</v>
      </c>
      <c r="P5" s="24">
        <f t="shared" si="3"/>
        <v>5382003.555</v>
      </c>
      <c r="Q5" s="26"/>
      <c r="R5" s="27"/>
      <c r="S5" s="28">
        <v>2.0025000681523E15</v>
      </c>
    </row>
    <row r="6">
      <c r="A6" s="29" t="s">
        <v>26</v>
      </c>
      <c r="B6" s="30" t="s">
        <v>27</v>
      </c>
      <c r="C6" s="20"/>
      <c r="D6" s="31"/>
      <c r="E6" s="21" t="s">
        <v>29</v>
      </c>
      <c r="F6" s="31"/>
      <c r="G6" s="22"/>
      <c r="H6" s="22"/>
      <c r="I6" s="23">
        <f t="shared" si="1"/>
        <v>865297061</v>
      </c>
      <c r="J6" s="23">
        <v>7.79546902E8</v>
      </c>
      <c r="K6" s="23">
        <v>7.1458466E8</v>
      </c>
      <c r="L6" s="24">
        <v>8.5750159E7</v>
      </c>
      <c r="M6" s="25"/>
      <c r="N6" s="25"/>
      <c r="O6" s="24">
        <f t="shared" si="2"/>
        <v>11693203.53</v>
      </c>
      <c r="P6" s="24">
        <f t="shared" si="3"/>
        <v>767853698.5</v>
      </c>
      <c r="Q6" s="26"/>
      <c r="R6" s="27"/>
      <c r="S6" s="28">
        <v>2.00250007942615E15</v>
      </c>
    </row>
    <row r="7">
      <c r="A7" s="29" t="s">
        <v>26</v>
      </c>
      <c r="B7" s="30" t="s">
        <v>27</v>
      </c>
      <c r="C7" s="20"/>
      <c r="D7" s="31"/>
      <c r="E7" s="21" t="s">
        <v>30</v>
      </c>
      <c r="F7" s="31"/>
      <c r="G7" s="22"/>
      <c r="H7" s="22"/>
      <c r="I7" s="23">
        <f t="shared" si="1"/>
        <v>17132001</v>
      </c>
      <c r="J7" s="23">
        <v>1.5434239E7</v>
      </c>
      <c r="K7" s="23">
        <v>1.4148011E7</v>
      </c>
      <c r="L7" s="24">
        <v>1697762.0</v>
      </c>
      <c r="M7" s="25"/>
      <c r="N7" s="25"/>
      <c r="O7" s="24">
        <f t="shared" si="2"/>
        <v>231513.585</v>
      </c>
      <c r="P7" s="24">
        <f t="shared" si="3"/>
        <v>15202725.42</v>
      </c>
      <c r="Q7" s="26"/>
      <c r="R7" s="27"/>
      <c r="S7" s="28">
        <v>2.00250008371422E15</v>
      </c>
    </row>
    <row r="8">
      <c r="A8" s="29" t="s">
        <v>26</v>
      </c>
      <c r="B8" s="30" t="s">
        <v>27</v>
      </c>
      <c r="C8" s="20"/>
      <c r="D8" s="31"/>
      <c r="E8" s="32">
        <v>45965.0</v>
      </c>
      <c r="F8" s="31"/>
      <c r="G8" s="22"/>
      <c r="H8" s="22"/>
      <c r="I8" s="23">
        <f t="shared" si="1"/>
        <v>1342500</v>
      </c>
      <c r="J8" s="23">
        <v>1209459.0</v>
      </c>
      <c r="K8" s="23">
        <v>1108671.0</v>
      </c>
      <c r="L8" s="24">
        <v>133041.0</v>
      </c>
      <c r="M8" s="25"/>
      <c r="N8" s="25"/>
      <c r="O8" s="24">
        <f t="shared" si="2"/>
        <v>18141.885</v>
      </c>
      <c r="P8" s="24">
        <f t="shared" si="3"/>
        <v>1191317.115</v>
      </c>
      <c r="Q8" s="26"/>
      <c r="R8" s="27"/>
      <c r="S8" s="28">
        <v>2.00250009552284E15</v>
      </c>
    </row>
    <row r="9">
      <c r="A9" s="29" t="s">
        <v>26</v>
      </c>
      <c r="B9" s="30" t="s">
        <v>27</v>
      </c>
      <c r="C9" s="20"/>
      <c r="D9" s="31"/>
      <c r="E9" s="21" t="s">
        <v>31</v>
      </c>
      <c r="F9" s="31"/>
      <c r="G9" s="22"/>
      <c r="H9" s="22"/>
      <c r="I9" s="23">
        <f t="shared" si="1"/>
        <v>7254054</v>
      </c>
      <c r="J9" s="23">
        <v>6600000.0</v>
      </c>
      <c r="K9" s="23">
        <v>5450450.0</v>
      </c>
      <c r="L9" s="24">
        <v>654054.0</v>
      </c>
      <c r="M9" s="25"/>
      <c r="N9" s="25"/>
      <c r="O9" s="24">
        <f t="shared" si="2"/>
        <v>99000</v>
      </c>
      <c r="P9" s="24">
        <f t="shared" si="3"/>
        <v>6501000</v>
      </c>
      <c r="Q9" s="26"/>
      <c r="R9" s="27"/>
      <c r="S9" s="28">
        <v>2.00250010624418E15</v>
      </c>
    </row>
    <row r="10">
      <c r="A10" s="29" t="s">
        <v>26</v>
      </c>
      <c r="B10" s="30" t="s">
        <v>27</v>
      </c>
      <c r="C10" s="31"/>
      <c r="D10" s="31"/>
      <c r="E10" s="21" t="s">
        <v>31</v>
      </c>
      <c r="F10" s="31"/>
      <c r="G10" s="22"/>
      <c r="H10" s="22"/>
      <c r="I10" s="23">
        <v>6935500.0</v>
      </c>
      <c r="J10" s="23">
        <f>I10/1.11</f>
        <v>6248198.198</v>
      </c>
      <c r="K10" s="23">
        <v>5727515.0</v>
      </c>
      <c r="L10" s="24">
        <v>687302.0</v>
      </c>
      <c r="M10" s="25"/>
      <c r="N10" s="25"/>
      <c r="O10" s="24">
        <f t="shared" si="2"/>
        <v>93722.97297</v>
      </c>
      <c r="P10" s="24">
        <f t="shared" si="3"/>
        <v>6154475.225</v>
      </c>
      <c r="Q10" s="26"/>
      <c r="R10" s="27"/>
      <c r="S10" s="28">
        <v>2.00250010623016E15</v>
      </c>
    </row>
    <row r="11">
      <c r="A11" s="29" t="s">
        <v>26</v>
      </c>
      <c r="B11" s="30" t="s">
        <v>27</v>
      </c>
      <c r="C11" s="20"/>
      <c r="D11" s="31"/>
      <c r="E11" s="21" t="s">
        <v>31</v>
      </c>
      <c r="F11" s="31"/>
      <c r="G11" s="22"/>
      <c r="H11" s="22"/>
      <c r="I11" s="23">
        <f t="shared" ref="I11:I89" si="4">J11+L11</f>
        <v>1017766</v>
      </c>
      <c r="J11" s="23">
        <v>926000.0</v>
      </c>
      <c r="K11" s="23">
        <v>764715.0</v>
      </c>
      <c r="L11" s="24">
        <v>91766.0</v>
      </c>
      <c r="M11" s="25"/>
      <c r="N11" s="25"/>
      <c r="O11" s="24">
        <f t="shared" si="2"/>
        <v>13890</v>
      </c>
      <c r="P11" s="24">
        <f t="shared" si="3"/>
        <v>912110</v>
      </c>
      <c r="Q11" s="26"/>
      <c r="R11" s="27"/>
      <c r="S11" s="28">
        <v>2.00250010622492E15</v>
      </c>
    </row>
    <row r="12">
      <c r="A12" s="29" t="s">
        <v>26</v>
      </c>
      <c r="B12" s="30" t="s">
        <v>27</v>
      </c>
      <c r="C12" s="20"/>
      <c r="D12" s="31"/>
      <c r="E12" s="21" t="s">
        <v>31</v>
      </c>
      <c r="F12" s="31"/>
      <c r="G12" s="22"/>
      <c r="H12" s="22"/>
      <c r="I12" s="23">
        <f t="shared" si="4"/>
        <v>22652432</v>
      </c>
      <c r="J12" s="23">
        <v>2.061E7</v>
      </c>
      <c r="K12" s="23">
        <v>1.702027E7</v>
      </c>
      <c r="L12" s="24">
        <v>2042432.0</v>
      </c>
      <c r="M12" s="25"/>
      <c r="N12" s="25"/>
      <c r="O12" s="24">
        <f t="shared" si="2"/>
        <v>309150</v>
      </c>
      <c r="P12" s="24">
        <f t="shared" si="3"/>
        <v>20300850</v>
      </c>
      <c r="Q12" s="26"/>
      <c r="R12" s="27"/>
      <c r="S12" s="28">
        <v>2.00250010626113E15</v>
      </c>
    </row>
    <row r="13">
      <c r="A13" s="29" t="s">
        <v>26</v>
      </c>
      <c r="B13" s="30" t="s">
        <v>27</v>
      </c>
      <c r="C13" s="20"/>
      <c r="D13" s="31"/>
      <c r="E13" s="21" t="s">
        <v>32</v>
      </c>
      <c r="F13" s="31"/>
      <c r="G13" s="22"/>
      <c r="H13" s="22"/>
      <c r="I13" s="23">
        <f t="shared" si="4"/>
        <v>55571499</v>
      </c>
      <c r="J13" s="23">
        <v>5.0064414E7</v>
      </c>
      <c r="K13" s="23">
        <v>4.5892379E7</v>
      </c>
      <c r="L13" s="24">
        <v>5507085.0</v>
      </c>
      <c r="M13" s="25"/>
      <c r="N13" s="25"/>
      <c r="O13" s="24">
        <f t="shared" si="2"/>
        <v>750966.21</v>
      </c>
      <c r="P13" s="24">
        <f t="shared" si="3"/>
        <v>49313447.79</v>
      </c>
      <c r="Q13" s="26"/>
      <c r="R13" s="27"/>
      <c r="S13" s="28">
        <v>2.00250010851791E15</v>
      </c>
    </row>
    <row r="14">
      <c r="A14" s="29" t="s">
        <v>26</v>
      </c>
      <c r="B14" s="30" t="s">
        <v>27</v>
      </c>
      <c r="C14" s="20"/>
      <c r="D14" s="31"/>
      <c r="E14" s="21" t="s">
        <v>32</v>
      </c>
      <c r="F14" s="31"/>
      <c r="G14" s="22"/>
      <c r="H14" s="22"/>
      <c r="I14" s="23">
        <f t="shared" si="4"/>
        <v>9955250</v>
      </c>
      <c r="J14" s="23">
        <v>8968694.0</v>
      </c>
      <c r="K14" s="23">
        <v>8221303.0</v>
      </c>
      <c r="L14" s="24">
        <v>986556.0</v>
      </c>
      <c r="M14" s="25"/>
      <c r="N14" s="25"/>
      <c r="O14" s="24">
        <f t="shared" si="2"/>
        <v>134530.41</v>
      </c>
      <c r="P14" s="24">
        <f t="shared" si="3"/>
        <v>8834163.59</v>
      </c>
      <c r="Q14" s="26"/>
      <c r="R14" s="27"/>
      <c r="S14" s="28">
        <v>2.00250010855206E15</v>
      </c>
    </row>
    <row r="15">
      <c r="A15" s="29" t="s">
        <v>26</v>
      </c>
      <c r="B15" s="30" t="s">
        <v>27</v>
      </c>
      <c r="C15" s="20"/>
      <c r="D15" s="31"/>
      <c r="E15" s="21" t="s">
        <v>33</v>
      </c>
      <c r="F15" s="31"/>
      <c r="G15" s="22"/>
      <c r="H15" s="22"/>
      <c r="I15" s="23">
        <f t="shared" si="4"/>
        <v>24749992</v>
      </c>
      <c r="J15" s="23">
        <v>2.229729E7</v>
      </c>
      <c r="K15" s="23">
        <v>2.0439183E7</v>
      </c>
      <c r="L15" s="24">
        <v>2452702.0</v>
      </c>
      <c r="M15" s="25"/>
      <c r="N15" s="25"/>
      <c r="O15" s="24">
        <f t="shared" si="2"/>
        <v>334459.35</v>
      </c>
      <c r="P15" s="24">
        <f t="shared" si="3"/>
        <v>21962830.65</v>
      </c>
      <c r="Q15" s="26"/>
      <c r="R15" s="27"/>
      <c r="S15" s="28">
        <v>2.00250011397257E15</v>
      </c>
    </row>
    <row r="16">
      <c r="A16" s="29" t="s">
        <v>34</v>
      </c>
      <c r="B16" s="30" t="s">
        <v>27</v>
      </c>
      <c r="C16" s="20"/>
      <c r="D16" s="31"/>
      <c r="E16" s="21" t="s">
        <v>35</v>
      </c>
      <c r="F16" s="31"/>
      <c r="G16" s="22"/>
      <c r="H16" s="22"/>
      <c r="I16" s="23">
        <f t="shared" si="4"/>
        <v>10982484</v>
      </c>
      <c r="J16" s="23">
        <v>9805657.0</v>
      </c>
      <c r="K16" s="23">
        <v>9805657.0</v>
      </c>
      <c r="L16" s="24">
        <v>1176827.0</v>
      </c>
      <c r="M16" s="25"/>
      <c r="N16" s="25"/>
      <c r="O16" s="24">
        <f t="shared" si="2"/>
        <v>147084.855</v>
      </c>
      <c r="P16" s="24">
        <f t="shared" si="3"/>
        <v>9658572.145</v>
      </c>
      <c r="Q16" s="26"/>
      <c r="R16" s="27"/>
      <c r="S16" s="28">
        <v>2.00250015324078E15</v>
      </c>
    </row>
    <row r="17">
      <c r="A17" s="29" t="s">
        <v>26</v>
      </c>
      <c r="B17" s="30" t="s">
        <v>27</v>
      </c>
      <c r="C17" s="20"/>
      <c r="D17" s="31"/>
      <c r="E17" s="32">
        <v>45694.0</v>
      </c>
      <c r="F17" s="31"/>
      <c r="G17" s="22"/>
      <c r="H17" s="22"/>
      <c r="I17" s="23">
        <f t="shared" si="4"/>
        <v>4924998</v>
      </c>
      <c r="J17" s="23">
        <v>4436935.0</v>
      </c>
      <c r="K17" s="23">
        <v>4067190.0</v>
      </c>
      <c r="L17" s="24">
        <v>488063.0</v>
      </c>
      <c r="M17" s="25"/>
      <c r="N17" s="25"/>
      <c r="O17" s="24">
        <f t="shared" si="2"/>
        <v>66554.025</v>
      </c>
      <c r="P17" s="24">
        <f t="shared" si="3"/>
        <v>4370380.975</v>
      </c>
      <c r="Q17" s="26"/>
      <c r="R17" s="27"/>
      <c r="S17" s="28">
        <v>2.0025001532548E15</v>
      </c>
    </row>
    <row r="18">
      <c r="A18" s="29" t="s">
        <v>26</v>
      </c>
      <c r="B18" s="30" t="s">
        <v>27</v>
      </c>
      <c r="C18" s="20"/>
      <c r="D18" s="31"/>
      <c r="E18" s="32">
        <v>45694.0</v>
      </c>
      <c r="F18" s="31"/>
      <c r="G18" s="22"/>
      <c r="H18" s="22"/>
      <c r="I18" s="23">
        <f t="shared" si="4"/>
        <v>1648500</v>
      </c>
      <c r="J18" s="23">
        <v>1485135.0</v>
      </c>
      <c r="K18" s="23">
        <v>1361373.0</v>
      </c>
      <c r="L18" s="24">
        <v>163365.0</v>
      </c>
      <c r="M18" s="25"/>
      <c r="N18" s="25"/>
      <c r="O18" s="24">
        <f t="shared" si="2"/>
        <v>22277.025</v>
      </c>
      <c r="P18" s="24">
        <f t="shared" si="3"/>
        <v>1462857.975</v>
      </c>
      <c r="Q18" s="26"/>
      <c r="R18" s="27"/>
      <c r="S18" s="28">
        <v>2.00250016434255E15</v>
      </c>
    </row>
    <row r="19">
      <c r="A19" s="29" t="s">
        <v>36</v>
      </c>
      <c r="B19" s="30" t="s">
        <v>37</v>
      </c>
      <c r="C19" s="20"/>
      <c r="D19" s="31"/>
      <c r="E19" s="32">
        <v>45967.0</v>
      </c>
      <c r="F19" s="31"/>
      <c r="G19" s="22"/>
      <c r="H19" s="22"/>
      <c r="I19" s="23">
        <f t="shared" si="4"/>
        <v>62128800</v>
      </c>
      <c r="J19" s="23">
        <v>5.5971892E7</v>
      </c>
      <c r="K19" s="23">
        <v>5.1307567E7</v>
      </c>
      <c r="L19" s="24">
        <v>6156908.0</v>
      </c>
      <c r="M19" s="25"/>
      <c r="N19" s="25"/>
      <c r="O19" s="24">
        <f t="shared" si="2"/>
        <v>839578.38</v>
      </c>
      <c r="P19" s="24">
        <f t="shared" si="3"/>
        <v>55132313.62</v>
      </c>
      <c r="Q19" s="26"/>
      <c r="R19" s="27"/>
      <c r="S19" s="28">
        <v>4.00250016691862E15</v>
      </c>
    </row>
    <row r="20">
      <c r="A20" s="29" t="s">
        <v>26</v>
      </c>
      <c r="B20" s="30" t="s">
        <v>27</v>
      </c>
      <c r="C20" s="20"/>
      <c r="D20" s="27"/>
      <c r="E20" s="33">
        <v>45997.0</v>
      </c>
      <c r="F20" s="31"/>
      <c r="G20" s="20"/>
      <c r="H20" s="20"/>
      <c r="I20" s="23">
        <f t="shared" si="4"/>
        <v>1485135</v>
      </c>
      <c r="J20" s="23">
        <v>1485135.0</v>
      </c>
      <c r="K20" s="23">
        <v>1361374.0</v>
      </c>
      <c r="L20" s="25"/>
      <c r="M20" s="24">
        <v>163365.0</v>
      </c>
      <c r="N20" s="25"/>
      <c r="O20" s="24">
        <f t="shared" si="2"/>
        <v>22277.025</v>
      </c>
      <c r="P20" s="24">
        <f t="shared" si="3"/>
        <v>1626222.975</v>
      </c>
      <c r="Q20" s="26"/>
      <c r="R20" s="27"/>
      <c r="S20" s="28">
        <v>2.00250017746574E15</v>
      </c>
    </row>
    <row r="21">
      <c r="A21" s="34" t="s">
        <v>26</v>
      </c>
      <c r="B21" s="35" t="s">
        <v>27</v>
      </c>
      <c r="C21" s="25"/>
      <c r="D21" s="27"/>
      <c r="E21" s="36" t="s">
        <v>38</v>
      </c>
      <c r="F21" s="27"/>
      <c r="G21" s="25"/>
      <c r="H21" s="25"/>
      <c r="I21" s="23">
        <f t="shared" si="4"/>
        <v>688200</v>
      </c>
      <c r="J21" s="23">
        <v>620000.0</v>
      </c>
      <c r="K21" s="23">
        <v>568333.0</v>
      </c>
      <c r="L21" s="24">
        <v>68200.0</v>
      </c>
      <c r="M21" s="25"/>
      <c r="N21" s="25"/>
      <c r="O21" s="24">
        <f t="shared" si="2"/>
        <v>9300</v>
      </c>
      <c r="P21" s="24">
        <f t="shared" si="3"/>
        <v>610700</v>
      </c>
      <c r="Q21" s="26"/>
      <c r="R21" s="27"/>
      <c r="S21" s="28">
        <v>2.00250017748009E15</v>
      </c>
    </row>
    <row r="22">
      <c r="A22" s="34" t="s">
        <v>26</v>
      </c>
      <c r="B22" s="35" t="s">
        <v>27</v>
      </c>
      <c r="C22" s="25"/>
      <c r="D22" s="27"/>
      <c r="E22" s="36" t="s">
        <v>38</v>
      </c>
      <c r="F22" s="27"/>
      <c r="G22" s="25"/>
      <c r="H22" s="25"/>
      <c r="I22" s="23">
        <f t="shared" si="4"/>
        <v>4384500</v>
      </c>
      <c r="J22" s="23">
        <v>3950000.0</v>
      </c>
      <c r="K22" s="23">
        <v>3620833.0</v>
      </c>
      <c r="L22" s="24">
        <v>434500.0</v>
      </c>
      <c r="M22" s="25"/>
      <c r="N22" s="25"/>
      <c r="O22" s="24">
        <f t="shared" si="2"/>
        <v>59250</v>
      </c>
      <c r="P22" s="24">
        <f t="shared" si="3"/>
        <v>3890750</v>
      </c>
      <c r="Q22" s="26"/>
      <c r="R22" s="27"/>
      <c r="S22" s="28">
        <v>2.01250018062791E15</v>
      </c>
    </row>
    <row r="23">
      <c r="A23" s="34" t="s">
        <v>26</v>
      </c>
      <c r="B23" s="30" t="s">
        <v>27</v>
      </c>
      <c r="C23" s="20"/>
      <c r="D23" s="27"/>
      <c r="E23" s="36" t="s">
        <v>39</v>
      </c>
      <c r="F23" s="27"/>
      <c r="G23" s="25"/>
      <c r="H23" s="25"/>
      <c r="I23" s="23">
        <f t="shared" si="4"/>
        <v>8074140</v>
      </c>
      <c r="J23" s="23">
        <v>7274000.0</v>
      </c>
      <c r="K23" s="23">
        <v>6667834.0</v>
      </c>
      <c r="L23" s="24">
        <v>800140.0</v>
      </c>
      <c r="M23" s="25"/>
      <c r="N23" s="25"/>
      <c r="O23" s="24">
        <f t="shared" si="2"/>
        <v>109110</v>
      </c>
      <c r="P23" s="24">
        <f t="shared" si="3"/>
        <v>7164890</v>
      </c>
      <c r="Q23" s="26"/>
      <c r="R23" s="27"/>
      <c r="S23" s="28">
        <v>2.00250018049384E15</v>
      </c>
    </row>
    <row r="24">
      <c r="A24" s="34" t="s">
        <v>26</v>
      </c>
      <c r="B24" s="30" t="s">
        <v>27</v>
      </c>
      <c r="C24" s="20"/>
      <c r="D24" s="27"/>
      <c r="E24" s="36" t="s">
        <v>39</v>
      </c>
      <c r="F24" s="27"/>
      <c r="G24" s="25"/>
      <c r="H24" s="25"/>
      <c r="I24" s="23">
        <f t="shared" si="4"/>
        <v>3406000</v>
      </c>
      <c r="J24" s="23">
        <v>3068468.0</v>
      </c>
      <c r="K24" s="23">
        <v>2812763.0</v>
      </c>
      <c r="L24" s="24">
        <v>337532.0</v>
      </c>
      <c r="M24" s="25"/>
      <c r="N24" s="25"/>
      <c r="O24" s="24">
        <f t="shared" si="2"/>
        <v>46027.02</v>
      </c>
      <c r="P24" s="24">
        <f t="shared" si="3"/>
        <v>3022440.98</v>
      </c>
      <c r="Q24" s="26"/>
      <c r="R24" s="27"/>
      <c r="S24" s="28">
        <v>2.00250018050065E15</v>
      </c>
    </row>
    <row r="25">
      <c r="A25" s="34" t="s">
        <v>26</v>
      </c>
      <c r="B25" s="35" t="s">
        <v>27</v>
      </c>
      <c r="C25" s="25"/>
      <c r="D25" s="27"/>
      <c r="E25" s="36" t="s">
        <v>39</v>
      </c>
      <c r="F25" s="27"/>
      <c r="G25" s="25"/>
      <c r="H25" s="25"/>
      <c r="I25" s="23">
        <f t="shared" si="4"/>
        <v>6993000</v>
      </c>
      <c r="J25" s="23">
        <v>6300000.0</v>
      </c>
      <c r="K25" s="23">
        <v>5775000.0</v>
      </c>
      <c r="L25" s="24">
        <v>693000.0</v>
      </c>
      <c r="M25" s="25"/>
      <c r="N25" s="25"/>
      <c r="O25" s="24">
        <f t="shared" si="2"/>
        <v>94500</v>
      </c>
      <c r="P25" s="24">
        <f t="shared" si="3"/>
        <v>6205500</v>
      </c>
      <c r="Q25" s="26"/>
      <c r="R25" s="27"/>
      <c r="S25" s="28">
        <v>2.00250018052467E15</v>
      </c>
    </row>
    <row r="26">
      <c r="A26" s="34" t="s">
        <v>26</v>
      </c>
      <c r="B26" s="35" t="s">
        <v>27</v>
      </c>
      <c r="C26" s="25"/>
      <c r="D26" s="27"/>
      <c r="E26" s="36" t="s">
        <v>39</v>
      </c>
      <c r="F26" s="27"/>
      <c r="G26" s="25"/>
      <c r="H26" s="25"/>
      <c r="I26" s="23">
        <f t="shared" si="4"/>
        <v>31689997</v>
      </c>
      <c r="J26" s="23">
        <v>2.8549547E7</v>
      </c>
      <c r="K26" s="23">
        <v>2.6170419E7</v>
      </c>
      <c r="L26" s="24">
        <v>3140450.0</v>
      </c>
      <c r="M26" s="25"/>
      <c r="N26" s="25"/>
      <c r="O26" s="24">
        <f t="shared" si="2"/>
        <v>428243.205</v>
      </c>
      <c r="P26" s="24">
        <f t="shared" si="3"/>
        <v>28121303.8</v>
      </c>
      <c r="Q26" s="26"/>
      <c r="R26" s="27"/>
      <c r="S26" s="28">
        <v>2.00250018298012E15</v>
      </c>
    </row>
    <row r="27">
      <c r="A27" s="34" t="s">
        <v>26</v>
      </c>
      <c r="B27" s="35" t="s">
        <v>27</v>
      </c>
      <c r="C27" s="25"/>
      <c r="D27" s="27"/>
      <c r="E27" s="36" t="s">
        <v>40</v>
      </c>
      <c r="F27" s="27"/>
      <c r="G27" s="25"/>
      <c r="H27" s="25"/>
      <c r="I27" s="23">
        <f t="shared" si="4"/>
        <v>2763900</v>
      </c>
      <c r="J27" s="23">
        <v>2490000.0</v>
      </c>
      <c r="K27" s="23">
        <v>2282500.0</v>
      </c>
      <c r="L27" s="24">
        <v>273900.0</v>
      </c>
      <c r="M27" s="25"/>
      <c r="N27" s="25"/>
      <c r="O27" s="24">
        <f t="shared" si="2"/>
        <v>37350</v>
      </c>
      <c r="P27" s="24">
        <f t="shared" si="3"/>
        <v>2452650</v>
      </c>
      <c r="Q27" s="26"/>
      <c r="R27" s="27"/>
      <c r="S27" s="28">
        <v>2.00250019002439E15</v>
      </c>
    </row>
    <row r="28">
      <c r="A28" s="34" t="s">
        <v>26</v>
      </c>
      <c r="B28" s="35" t="s">
        <v>27</v>
      </c>
      <c r="C28" s="25"/>
      <c r="D28" s="27"/>
      <c r="E28" s="37">
        <v>45695.0</v>
      </c>
      <c r="F28" s="27"/>
      <c r="G28" s="25"/>
      <c r="H28" s="25"/>
      <c r="I28" s="23">
        <f t="shared" si="4"/>
        <v>17040029</v>
      </c>
      <c r="J28" s="23">
        <v>1.535138E7</v>
      </c>
      <c r="K28" s="23">
        <v>1.4072072E7</v>
      </c>
      <c r="L28" s="24">
        <v>1688649.0</v>
      </c>
      <c r="M28" s="25"/>
      <c r="N28" s="25"/>
      <c r="O28" s="24">
        <f t="shared" si="2"/>
        <v>230270.7</v>
      </c>
      <c r="P28" s="24">
        <f t="shared" si="3"/>
        <v>15121109.3</v>
      </c>
      <c r="Q28" s="26"/>
      <c r="R28" s="27"/>
      <c r="S28" s="28">
        <v>2.00250019307283E15</v>
      </c>
    </row>
    <row r="29">
      <c r="A29" s="34" t="s">
        <v>41</v>
      </c>
      <c r="B29" s="35" t="s">
        <v>42</v>
      </c>
      <c r="C29" s="25"/>
      <c r="D29" s="27"/>
      <c r="E29" s="37">
        <v>45754.0</v>
      </c>
      <c r="F29" s="27"/>
      <c r="G29" s="25"/>
      <c r="H29" s="25"/>
      <c r="I29" s="23">
        <f t="shared" si="4"/>
        <v>300000</v>
      </c>
      <c r="J29" s="23">
        <v>270270.0</v>
      </c>
      <c r="K29" s="23">
        <v>247748.0</v>
      </c>
      <c r="L29" s="24">
        <v>29730.0</v>
      </c>
      <c r="M29" s="25"/>
      <c r="N29" s="25"/>
      <c r="O29" s="24">
        <f t="shared" si="2"/>
        <v>4054.05</v>
      </c>
      <c r="P29" s="24">
        <f t="shared" si="3"/>
        <v>266215.95</v>
      </c>
      <c r="Q29" s="26"/>
      <c r="R29" s="27"/>
      <c r="S29" s="28">
        <v>2.00250019819516E15</v>
      </c>
    </row>
    <row r="30">
      <c r="A30" s="34" t="s">
        <v>23</v>
      </c>
      <c r="B30" s="35" t="s">
        <v>24</v>
      </c>
      <c r="C30" s="25"/>
      <c r="D30" s="27"/>
      <c r="E30" s="37">
        <v>45876.0</v>
      </c>
      <c r="F30" s="27"/>
      <c r="G30" s="25"/>
      <c r="H30" s="25"/>
      <c r="I30" s="23">
        <f t="shared" si="4"/>
        <v>72014070</v>
      </c>
      <c r="J30" s="23">
        <v>6.4877541E7</v>
      </c>
      <c r="K30" s="23">
        <v>5.9471079E7</v>
      </c>
      <c r="L30" s="24">
        <v>7136529.0</v>
      </c>
      <c r="M30" s="25"/>
      <c r="N30" s="25"/>
      <c r="O30" s="24">
        <f t="shared" si="2"/>
        <v>973163.115</v>
      </c>
      <c r="P30" s="24">
        <f t="shared" si="3"/>
        <v>63904377.89</v>
      </c>
      <c r="Q30" s="26"/>
      <c r="R30" s="27"/>
      <c r="S30" s="28">
        <v>2.0025001980917E15</v>
      </c>
    </row>
    <row r="31">
      <c r="A31" s="34" t="s">
        <v>23</v>
      </c>
      <c r="B31" s="35" t="s">
        <v>24</v>
      </c>
      <c r="C31" s="25"/>
      <c r="D31" s="27"/>
      <c r="E31" s="33">
        <v>45876.0</v>
      </c>
      <c r="F31" s="27"/>
      <c r="G31" s="25"/>
      <c r="H31" s="25"/>
      <c r="I31" s="23">
        <f t="shared" si="4"/>
        <v>80066790</v>
      </c>
      <c r="J31" s="23">
        <v>7.2132243E7</v>
      </c>
      <c r="K31" s="23">
        <v>6.6121223E7</v>
      </c>
      <c r="L31" s="24">
        <v>7934547.0</v>
      </c>
      <c r="M31" s="25"/>
      <c r="N31" s="25"/>
      <c r="O31" s="24">
        <f t="shared" si="2"/>
        <v>1081983.645</v>
      </c>
      <c r="P31" s="24">
        <f t="shared" si="3"/>
        <v>71050259.36</v>
      </c>
      <c r="Q31" s="26"/>
      <c r="R31" s="27"/>
      <c r="S31" s="28">
        <v>2.00250020954839E15</v>
      </c>
    </row>
    <row r="32">
      <c r="A32" s="34" t="s">
        <v>26</v>
      </c>
      <c r="B32" s="35" t="s">
        <v>27</v>
      </c>
      <c r="C32" s="25"/>
      <c r="D32" s="27"/>
      <c r="E32" s="36" t="s">
        <v>43</v>
      </c>
      <c r="F32" s="27"/>
      <c r="G32" s="25"/>
      <c r="H32" s="25"/>
      <c r="I32" s="23">
        <f t="shared" si="4"/>
        <v>12699009</v>
      </c>
      <c r="J32" s="23">
        <v>1.144055E7</v>
      </c>
      <c r="K32" s="23">
        <v>1.0487162E7</v>
      </c>
      <c r="L32" s="24">
        <v>1258459.0</v>
      </c>
      <c r="M32" s="25"/>
      <c r="N32" s="25"/>
      <c r="O32" s="24">
        <f t="shared" si="2"/>
        <v>171608.25</v>
      </c>
      <c r="P32" s="24">
        <f t="shared" si="3"/>
        <v>11268941.75</v>
      </c>
      <c r="Q32" s="26"/>
      <c r="R32" s="27"/>
      <c r="S32" s="28">
        <v>2.0025002140711E15</v>
      </c>
    </row>
    <row r="33">
      <c r="A33" s="34" t="s">
        <v>26</v>
      </c>
      <c r="B33" s="35" t="s">
        <v>27</v>
      </c>
      <c r="C33" s="25"/>
      <c r="D33" s="27"/>
      <c r="E33" s="36" t="s">
        <v>44</v>
      </c>
      <c r="F33" s="27"/>
      <c r="G33" s="25"/>
      <c r="H33" s="25"/>
      <c r="I33" s="23">
        <f t="shared" si="4"/>
        <v>8731260</v>
      </c>
      <c r="J33" s="23">
        <v>7866000.0</v>
      </c>
      <c r="K33" s="23">
        <v>7210500.0</v>
      </c>
      <c r="L33" s="24">
        <v>865260.0</v>
      </c>
      <c r="M33" s="25"/>
      <c r="N33" s="25"/>
      <c r="O33" s="24">
        <f t="shared" si="2"/>
        <v>117990</v>
      </c>
      <c r="P33" s="24">
        <f t="shared" si="3"/>
        <v>7748010</v>
      </c>
      <c r="Q33" s="26"/>
      <c r="R33" s="27"/>
      <c r="S33" s="28">
        <v>2.00250022121213E15</v>
      </c>
    </row>
    <row r="34">
      <c r="A34" s="34" t="s">
        <v>26</v>
      </c>
      <c r="B34" s="35" t="s">
        <v>27</v>
      </c>
      <c r="C34" s="25"/>
      <c r="D34" s="27"/>
      <c r="E34" s="36" t="s">
        <v>45</v>
      </c>
      <c r="F34" s="27"/>
      <c r="G34" s="25"/>
      <c r="H34" s="25"/>
      <c r="I34" s="23">
        <f t="shared" si="4"/>
        <v>38865469</v>
      </c>
      <c r="J34" s="23">
        <v>3.5013982E7</v>
      </c>
      <c r="K34" s="23">
        <v>3.2095721E7</v>
      </c>
      <c r="L34" s="24">
        <v>3851487.0</v>
      </c>
      <c r="M34" s="25"/>
      <c r="N34" s="25"/>
      <c r="O34" s="24">
        <f t="shared" si="2"/>
        <v>525209.73</v>
      </c>
      <c r="P34" s="24">
        <f t="shared" si="3"/>
        <v>34488772.27</v>
      </c>
      <c r="Q34" s="26"/>
      <c r="R34" s="27"/>
      <c r="S34" s="28">
        <v>2.00250022352433E15</v>
      </c>
    </row>
    <row r="35">
      <c r="A35" s="34" t="s">
        <v>26</v>
      </c>
      <c r="B35" s="35" t="s">
        <v>27</v>
      </c>
      <c r="C35" s="25"/>
      <c r="D35" s="27"/>
      <c r="E35" s="36" t="s">
        <v>46</v>
      </c>
      <c r="F35" s="27"/>
      <c r="G35" s="25"/>
      <c r="H35" s="25"/>
      <c r="I35" s="23">
        <f t="shared" si="4"/>
        <v>7152840</v>
      </c>
      <c r="J35" s="23">
        <v>6444000.0</v>
      </c>
      <c r="K35" s="23">
        <v>5907001.0</v>
      </c>
      <c r="L35" s="24">
        <v>708840.0</v>
      </c>
      <c r="M35" s="25"/>
      <c r="N35" s="25"/>
      <c r="O35" s="24">
        <f t="shared" si="2"/>
        <v>96660</v>
      </c>
      <c r="P35" s="24">
        <f t="shared" si="3"/>
        <v>6347340</v>
      </c>
      <c r="Q35" s="26"/>
      <c r="R35" s="27"/>
      <c r="S35" s="28">
        <v>2.00250024639346E15</v>
      </c>
    </row>
    <row r="36">
      <c r="A36" s="34" t="s">
        <v>26</v>
      </c>
      <c r="B36" s="35" t="s">
        <v>27</v>
      </c>
      <c r="C36" s="25"/>
      <c r="D36" s="27"/>
      <c r="E36" s="36" t="s">
        <v>47</v>
      </c>
      <c r="F36" s="27"/>
      <c r="G36" s="25"/>
      <c r="H36" s="25"/>
      <c r="I36" s="23">
        <f t="shared" si="4"/>
        <v>10782362</v>
      </c>
      <c r="J36" s="23">
        <v>9898200.0</v>
      </c>
      <c r="K36" s="23">
        <v>9073347.0</v>
      </c>
      <c r="L36" s="24">
        <v>884162.0</v>
      </c>
      <c r="M36" s="25"/>
      <c r="N36" s="25"/>
      <c r="O36" s="24">
        <f t="shared" si="2"/>
        <v>148473</v>
      </c>
      <c r="P36" s="24">
        <f t="shared" si="3"/>
        <v>9749727</v>
      </c>
      <c r="Q36" s="26"/>
      <c r="R36" s="27"/>
      <c r="S36" s="28">
        <v>2.00250024509728E15</v>
      </c>
    </row>
    <row r="37">
      <c r="A37" s="34" t="s">
        <v>26</v>
      </c>
      <c r="B37" s="35" t="s">
        <v>27</v>
      </c>
      <c r="C37" s="25"/>
      <c r="D37" s="27"/>
      <c r="E37" s="36" t="s">
        <v>47</v>
      </c>
      <c r="F37" s="27"/>
      <c r="G37" s="25"/>
      <c r="H37" s="25"/>
      <c r="I37" s="23">
        <f t="shared" si="4"/>
        <v>28081023</v>
      </c>
      <c r="J37" s="23">
        <v>2.5298241E7</v>
      </c>
      <c r="K37" s="23">
        <v>2.3189849E7</v>
      </c>
      <c r="L37" s="24">
        <v>2782782.0</v>
      </c>
      <c r="M37" s="25"/>
      <c r="N37" s="25"/>
      <c r="O37" s="24">
        <f t="shared" si="2"/>
        <v>379473.615</v>
      </c>
      <c r="P37" s="24">
        <f t="shared" si="3"/>
        <v>24918767.39</v>
      </c>
      <c r="Q37" s="26"/>
      <c r="R37" s="27"/>
      <c r="S37" s="28">
        <v>2.00250025018443E15</v>
      </c>
    </row>
    <row r="38">
      <c r="A38" s="34" t="s">
        <v>26</v>
      </c>
      <c r="B38" s="38" t="s">
        <v>27</v>
      </c>
      <c r="C38" s="25"/>
      <c r="D38" s="27"/>
      <c r="E38" s="36" t="s">
        <v>48</v>
      </c>
      <c r="F38" s="27"/>
      <c r="G38" s="25"/>
      <c r="H38" s="25"/>
      <c r="I38" s="23">
        <f t="shared" si="4"/>
        <v>8752855</v>
      </c>
      <c r="J38" s="23">
        <v>7908848.0</v>
      </c>
      <c r="K38" s="23">
        <v>7249759.0</v>
      </c>
      <c r="L38" s="24">
        <v>844007.0</v>
      </c>
      <c r="M38" s="25"/>
      <c r="N38" s="25"/>
      <c r="O38" s="24">
        <f t="shared" si="2"/>
        <v>118632.72</v>
      </c>
      <c r="P38" s="24">
        <f t="shared" si="3"/>
        <v>7790215.28</v>
      </c>
      <c r="Q38" s="26"/>
      <c r="R38" s="27"/>
      <c r="S38" s="28">
        <v>2.00250026006311E15</v>
      </c>
    </row>
    <row r="39">
      <c r="A39" s="34" t="s">
        <v>26</v>
      </c>
      <c r="B39" s="38" t="s">
        <v>27</v>
      </c>
      <c r="C39" s="25"/>
      <c r="D39" s="27"/>
      <c r="E39" s="36" t="s">
        <v>49</v>
      </c>
      <c r="F39" s="27"/>
      <c r="G39" s="25"/>
      <c r="H39" s="25"/>
      <c r="I39" s="23">
        <f t="shared" si="4"/>
        <v>8308380</v>
      </c>
      <c r="J39" s="23">
        <v>7894820.0</v>
      </c>
      <c r="K39" s="23">
        <v>7236878.0</v>
      </c>
      <c r="L39" s="24">
        <v>413560.0</v>
      </c>
      <c r="M39" s="25"/>
      <c r="N39" s="25"/>
      <c r="O39" s="24">
        <f t="shared" si="2"/>
        <v>118422.3</v>
      </c>
      <c r="P39" s="24">
        <f t="shared" si="3"/>
        <v>7776397.7</v>
      </c>
      <c r="Q39" s="26"/>
      <c r="R39" s="27"/>
      <c r="S39" s="28">
        <v>2.00250026005287E15</v>
      </c>
    </row>
    <row r="40">
      <c r="A40" s="34" t="s">
        <v>26</v>
      </c>
      <c r="B40" s="38" t="s">
        <v>27</v>
      </c>
      <c r="C40" s="25"/>
      <c r="D40" s="27"/>
      <c r="E40" s="36" t="s">
        <v>49</v>
      </c>
      <c r="F40" s="27"/>
      <c r="G40" s="25"/>
      <c r="H40" s="25"/>
      <c r="I40" s="23">
        <f t="shared" si="4"/>
        <v>2230001</v>
      </c>
      <c r="J40" s="23">
        <v>2009010.0</v>
      </c>
      <c r="K40" s="23">
        <v>1841592.0</v>
      </c>
      <c r="L40" s="24">
        <v>220991.0</v>
      </c>
      <c r="M40" s="25"/>
      <c r="N40" s="25"/>
      <c r="O40" s="24">
        <f t="shared" si="2"/>
        <v>30135.15</v>
      </c>
      <c r="P40" s="24">
        <f t="shared" si="3"/>
        <v>1978874.85</v>
      </c>
      <c r="Q40" s="26"/>
      <c r="R40" s="27"/>
      <c r="S40" s="28">
        <v>2.00250026604136E15</v>
      </c>
    </row>
    <row r="41">
      <c r="A41" s="34" t="s">
        <v>26</v>
      </c>
      <c r="B41" s="38" t="s">
        <v>27</v>
      </c>
      <c r="C41" s="25"/>
      <c r="D41" s="27"/>
      <c r="E41" s="36" t="s">
        <v>50</v>
      </c>
      <c r="F41" s="27"/>
      <c r="G41" s="25"/>
      <c r="H41" s="25"/>
      <c r="I41" s="23">
        <f t="shared" si="4"/>
        <v>10043002</v>
      </c>
      <c r="J41" s="23">
        <v>9047750.0</v>
      </c>
      <c r="K41" s="23">
        <v>8293768.0</v>
      </c>
      <c r="L41" s="24">
        <v>995252.0</v>
      </c>
      <c r="M41" s="25"/>
      <c r="N41" s="25"/>
      <c r="O41" s="24">
        <f t="shared" si="2"/>
        <v>135716.25</v>
      </c>
      <c r="P41" s="24">
        <f t="shared" si="3"/>
        <v>8912033.75</v>
      </c>
      <c r="Q41" s="26"/>
      <c r="R41" s="27"/>
      <c r="S41" s="28">
        <v>2.00250026638093E15</v>
      </c>
    </row>
    <row r="42">
      <c r="A42" s="34" t="s">
        <v>26</v>
      </c>
      <c r="B42" s="38" t="s">
        <v>27</v>
      </c>
      <c r="C42" s="25"/>
      <c r="D42" s="27"/>
      <c r="E42" s="36" t="s">
        <v>50</v>
      </c>
      <c r="F42" s="27"/>
      <c r="G42" s="25"/>
      <c r="H42" s="25"/>
      <c r="I42" s="23">
        <f t="shared" si="4"/>
        <v>11147730</v>
      </c>
      <c r="J42" s="23">
        <v>1.0043E7</v>
      </c>
      <c r="K42" s="23">
        <v>9206083.0</v>
      </c>
      <c r="L42" s="24">
        <v>1104730.0</v>
      </c>
      <c r="M42" s="25"/>
      <c r="N42" s="25"/>
      <c r="O42" s="24">
        <f t="shared" si="2"/>
        <v>150645</v>
      </c>
      <c r="P42" s="24">
        <f t="shared" si="3"/>
        <v>9892355</v>
      </c>
      <c r="Q42" s="26"/>
      <c r="R42" s="27"/>
      <c r="S42" s="28">
        <v>2.00250026623457E15</v>
      </c>
    </row>
    <row r="43">
      <c r="A43" s="34" t="s">
        <v>51</v>
      </c>
      <c r="B43" s="38" t="s">
        <v>52</v>
      </c>
      <c r="C43" s="25"/>
      <c r="D43" s="27"/>
      <c r="E43" s="36" t="s">
        <v>50</v>
      </c>
      <c r="F43" s="27"/>
      <c r="G43" s="25"/>
      <c r="H43" s="25"/>
      <c r="I43" s="23">
        <f t="shared" si="4"/>
        <v>5182043</v>
      </c>
      <c r="J43" s="23">
        <v>4668510.0</v>
      </c>
      <c r="K43" s="23">
        <v>4279440.0</v>
      </c>
      <c r="L43" s="24">
        <v>513533.0</v>
      </c>
      <c r="M43" s="25"/>
      <c r="N43" s="25"/>
      <c r="O43" s="24">
        <f t="shared" si="2"/>
        <v>70027.65</v>
      </c>
      <c r="P43" s="24">
        <f t="shared" si="3"/>
        <v>4598482.35</v>
      </c>
      <c r="Q43" s="26"/>
      <c r="R43" s="27"/>
      <c r="S43" s="28">
        <v>2.01250026804111E15</v>
      </c>
    </row>
    <row r="44">
      <c r="A44" s="34" t="s">
        <v>26</v>
      </c>
      <c r="B44" s="38" t="s">
        <v>27</v>
      </c>
      <c r="C44" s="25"/>
      <c r="D44" s="27"/>
      <c r="E44" s="33">
        <v>45666.0</v>
      </c>
      <c r="F44" s="27"/>
      <c r="G44" s="25"/>
      <c r="H44" s="25"/>
      <c r="I44" s="23">
        <f t="shared" si="4"/>
        <v>31169688</v>
      </c>
      <c r="J44" s="23">
        <v>2.80808E7</v>
      </c>
      <c r="K44" s="23">
        <v>2.5740733E7</v>
      </c>
      <c r="L44" s="24">
        <v>3088888.0</v>
      </c>
      <c r="M44" s="25"/>
      <c r="N44" s="25"/>
      <c r="O44" s="24">
        <f t="shared" si="2"/>
        <v>421212</v>
      </c>
      <c r="P44" s="24">
        <f t="shared" si="3"/>
        <v>27659588</v>
      </c>
      <c r="Q44" s="26"/>
      <c r="R44" s="27"/>
      <c r="S44" s="28">
        <v>2.00250028945206E15</v>
      </c>
    </row>
    <row r="45">
      <c r="A45" s="34" t="s">
        <v>23</v>
      </c>
      <c r="B45" s="38" t="s">
        <v>24</v>
      </c>
      <c r="C45" s="25"/>
      <c r="D45" s="27"/>
      <c r="E45" s="36" t="s">
        <v>53</v>
      </c>
      <c r="F45" s="27"/>
      <c r="G45" s="25"/>
      <c r="H45" s="25"/>
      <c r="I45" s="23">
        <f t="shared" si="4"/>
        <v>105979615</v>
      </c>
      <c r="J45" s="23">
        <v>9.5477131E7</v>
      </c>
      <c r="K45" s="23">
        <v>8.7520703E7</v>
      </c>
      <c r="L45" s="24">
        <v>1.0502484E7</v>
      </c>
      <c r="M45" s="25"/>
      <c r="N45" s="25"/>
      <c r="O45" s="24">
        <f t="shared" si="2"/>
        <v>1432156.965</v>
      </c>
      <c r="P45" s="24">
        <f t="shared" si="3"/>
        <v>94044974.04</v>
      </c>
      <c r="Q45" s="26"/>
      <c r="R45" s="27"/>
      <c r="S45" s="28">
        <v>2.00250029756918E15</v>
      </c>
    </row>
    <row r="46">
      <c r="A46" s="34" t="s">
        <v>54</v>
      </c>
      <c r="B46" s="38" t="s">
        <v>27</v>
      </c>
      <c r="C46" s="25"/>
      <c r="D46" s="27"/>
      <c r="E46" s="36" t="s">
        <v>53</v>
      </c>
      <c r="F46" s="27"/>
      <c r="G46" s="25"/>
      <c r="H46" s="25"/>
      <c r="I46" s="23">
        <f t="shared" si="4"/>
        <v>2289467</v>
      </c>
      <c r="J46" s="23">
        <v>2044167.0</v>
      </c>
      <c r="K46" s="23">
        <v>2044167.0</v>
      </c>
      <c r="L46" s="24">
        <v>245300.0</v>
      </c>
      <c r="M46" s="25"/>
      <c r="N46" s="25"/>
      <c r="O46" s="24">
        <f t="shared" si="2"/>
        <v>30662.505</v>
      </c>
      <c r="P46" s="24">
        <f t="shared" si="3"/>
        <v>2013504.495</v>
      </c>
      <c r="Q46" s="26"/>
      <c r="R46" s="27"/>
      <c r="S46" s="28">
        <v>2.00250029995628E15</v>
      </c>
    </row>
    <row r="47">
      <c r="A47" s="34" t="s">
        <v>26</v>
      </c>
      <c r="B47" s="38" t="s">
        <v>27</v>
      </c>
      <c r="C47" s="25"/>
      <c r="D47" s="27"/>
      <c r="E47" s="36" t="s">
        <v>55</v>
      </c>
      <c r="F47" s="27"/>
      <c r="G47" s="25"/>
      <c r="H47" s="25"/>
      <c r="I47" s="23">
        <f t="shared" si="4"/>
        <v>954600</v>
      </c>
      <c r="J47" s="23">
        <v>860000.0</v>
      </c>
      <c r="K47" s="23">
        <v>788333.0</v>
      </c>
      <c r="L47" s="24">
        <v>94600.0</v>
      </c>
      <c r="M47" s="25"/>
      <c r="N47" s="25"/>
      <c r="O47" s="24">
        <f t="shared" si="2"/>
        <v>12900</v>
      </c>
      <c r="P47" s="24">
        <f t="shared" si="3"/>
        <v>847100</v>
      </c>
      <c r="Q47" s="26"/>
      <c r="R47" s="27"/>
      <c r="S47" s="28">
        <v>2.00250030108215E15</v>
      </c>
    </row>
    <row r="48">
      <c r="A48" s="34" t="s">
        <v>56</v>
      </c>
      <c r="B48" s="38" t="s">
        <v>57</v>
      </c>
      <c r="C48" s="25"/>
      <c r="D48" s="27"/>
      <c r="E48" s="36" t="s">
        <v>58</v>
      </c>
      <c r="F48" s="27"/>
      <c r="G48" s="25"/>
      <c r="H48" s="25"/>
      <c r="I48" s="23">
        <f t="shared" si="4"/>
        <v>3098149</v>
      </c>
      <c r="J48" s="23">
        <v>2791125.0</v>
      </c>
      <c r="K48" s="23">
        <v>2558532.0</v>
      </c>
      <c r="L48" s="24">
        <v>307024.0</v>
      </c>
      <c r="M48" s="25"/>
      <c r="N48" s="25"/>
      <c r="O48" s="24">
        <f t="shared" si="2"/>
        <v>41866.875</v>
      </c>
      <c r="P48" s="24">
        <f t="shared" si="3"/>
        <v>2749258.125</v>
      </c>
      <c r="Q48" s="26"/>
      <c r="R48" s="27"/>
      <c r="S48" s="28">
        <v>3.00250030267677E15</v>
      </c>
    </row>
    <row r="49">
      <c r="A49" s="34" t="s">
        <v>56</v>
      </c>
      <c r="B49" s="38" t="s">
        <v>57</v>
      </c>
      <c r="C49" s="25"/>
      <c r="D49" s="27"/>
      <c r="E49" s="36" t="s">
        <v>59</v>
      </c>
      <c r="F49" s="27"/>
      <c r="G49" s="25"/>
      <c r="H49" s="25"/>
      <c r="I49" s="23">
        <f t="shared" si="4"/>
        <v>2066784</v>
      </c>
      <c r="J49" s="23">
        <v>1861968.0</v>
      </c>
      <c r="K49" s="23">
        <v>1706804.0</v>
      </c>
      <c r="L49" s="24">
        <v>204816.0</v>
      </c>
      <c r="M49" s="25"/>
      <c r="N49" s="25"/>
      <c r="O49" s="24">
        <f t="shared" si="2"/>
        <v>27929.52</v>
      </c>
      <c r="P49" s="24">
        <f t="shared" si="3"/>
        <v>1834038.48</v>
      </c>
      <c r="Q49" s="26"/>
      <c r="R49" s="27"/>
      <c r="S49" s="28">
        <v>3.0025003026963E15</v>
      </c>
    </row>
    <row r="50">
      <c r="A50" s="34" t="s">
        <v>60</v>
      </c>
      <c r="B50" s="38" t="s">
        <v>61</v>
      </c>
      <c r="C50" s="25"/>
      <c r="D50" s="27"/>
      <c r="E50" s="36" t="s">
        <v>62</v>
      </c>
      <c r="F50" s="27"/>
      <c r="G50" s="25"/>
      <c r="H50" s="25"/>
      <c r="I50" s="23">
        <f t="shared" si="4"/>
        <v>4050000</v>
      </c>
      <c r="J50" s="23">
        <v>4050000.0</v>
      </c>
      <c r="K50" s="23">
        <v>3712500.0</v>
      </c>
      <c r="L50" s="25"/>
      <c r="M50" s="24">
        <v>445500.0</v>
      </c>
      <c r="N50" s="25"/>
      <c r="O50" s="24">
        <f t="shared" si="2"/>
        <v>60750</v>
      </c>
      <c r="P50" s="24">
        <f t="shared" si="3"/>
        <v>4434750</v>
      </c>
      <c r="Q50" s="26"/>
      <c r="R50" s="27"/>
      <c r="S50" s="28">
        <v>3.00250030271013E15</v>
      </c>
    </row>
    <row r="51">
      <c r="A51" s="34" t="s">
        <v>60</v>
      </c>
      <c r="B51" s="38" t="s">
        <v>61</v>
      </c>
      <c r="C51" s="25"/>
      <c r="D51" s="27"/>
      <c r="E51" s="36" t="s">
        <v>62</v>
      </c>
      <c r="F51" s="27"/>
      <c r="G51" s="25"/>
      <c r="H51" s="25"/>
      <c r="I51" s="23">
        <f t="shared" si="4"/>
        <v>4050000</v>
      </c>
      <c r="J51" s="23">
        <v>4050000.0</v>
      </c>
      <c r="K51" s="23">
        <v>3712500.0</v>
      </c>
      <c r="L51" s="25"/>
      <c r="M51" s="24">
        <v>445500.0</v>
      </c>
      <c r="N51" s="25"/>
      <c r="O51" s="24">
        <f t="shared" si="2"/>
        <v>60750</v>
      </c>
      <c r="P51" s="24">
        <f t="shared" si="3"/>
        <v>4434750</v>
      </c>
      <c r="Q51" s="26"/>
      <c r="R51" s="27"/>
      <c r="S51" s="28">
        <v>2.0225003036412E15</v>
      </c>
    </row>
    <row r="52">
      <c r="A52" s="34" t="s">
        <v>60</v>
      </c>
      <c r="B52" s="38" t="s">
        <v>61</v>
      </c>
      <c r="C52" s="25"/>
      <c r="D52" s="27"/>
      <c r="E52" s="36" t="s">
        <v>62</v>
      </c>
      <c r="F52" s="27"/>
      <c r="G52" s="25"/>
      <c r="H52" s="25"/>
      <c r="I52" s="23">
        <f t="shared" si="4"/>
        <v>8100000</v>
      </c>
      <c r="J52" s="23">
        <v>8100000.0</v>
      </c>
      <c r="K52" s="23">
        <v>7425000.0</v>
      </c>
      <c r="L52" s="25"/>
      <c r="M52" s="24">
        <v>891000.0</v>
      </c>
      <c r="N52" s="25"/>
      <c r="O52" s="24">
        <f t="shared" si="2"/>
        <v>121500</v>
      </c>
      <c r="P52" s="24">
        <f t="shared" si="3"/>
        <v>8869500</v>
      </c>
      <c r="Q52" s="26"/>
      <c r="R52" s="27"/>
      <c r="S52" s="28">
        <v>2.00250030335103E15</v>
      </c>
    </row>
    <row r="53">
      <c r="A53" s="34" t="s">
        <v>26</v>
      </c>
      <c r="B53" s="38" t="s">
        <v>27</v>
      </c>
      <c r="C53" s="25"/>
      <c r="D53" s="27"/>
      <c r="E53" s="36" t="s">
        <v>63</v>
      </c>
      <c r="F53" s="27"/>
      <c r="G53" s="25"/>
      <c r="H53" s="25"/>
      <c r="I53" s="23">
        <f t="shared" si="4"/>
        <v>281081</v>
      </c>
      <c r="J53" s="23">
        <v>281081.0</v>
      </c>
      <c r="K53" s="23">
        <v>257658.0</v>
      </c>
      <c r="L53" s="25"/>
      <c r="M53" s="24">
        <v>30919.0</v>
      </c>
      <c r="N53" s="25"/>
      <c r="O53" s="24">
        <f t="shared" si="2"/>
        <v>4216.215</v>
      </c>
      <c r="P53" s="24">
        <f t="shared" si="3"/>
        <v>307783.785</v>
      </c>
      <c r="Q53" s="26"/>
      <c r="R53" s="27"/>
      <c r="S53" s="28">
        <v>2.00250030333276E15</v>
      </c>
    </row>
    <row r="54">
      <c r="A54" s="34" t="s">
        <v>26</v>
      </c>
      <c r="B54" s="38" t="s">
        <v>27</v>
      </c>
      <c r="C54" s="25"/>
      <c r="D54" s="27"/>
      <c r="E54" s="36" t="s">
        <v>63</v>
      </c>
      <c r="F54" s="27"/>
      <c r="G54" s="25"/>
      <c r="H54" s="25"/>
      <c r="I54" s="23">
        <f t="shared" si="4"/>
        <v>2727736</v>
      </c>
      <c r="J54" s="23">
        <v>2457398.0</v>
      </c>
      <c r="K54" s="23">
        <v>2252820.0</v>
      </c>
      <c r="L54" s="24">
        <v>270338.0</v>
      </c>
      <c r="M54" s="25"/>
      <c r="N54" s="25"/>
      <c r="O54" s="24">
        <f t="shared" si="2"/>
        <v>36860.97</v>
      </c>
      <c r="P54" s="24">
        <f t="shared" si="3"/>
        <v>2420537.03</v>
      </c>
      <c r="Q54" s="26"/>
      <c r="R54" s="27"/>
      <c r="S54" s="28">
        <v>2.00250030358521E15</v>
      </c>
    </row>
    <row r="55">
      <c r="A55" s="34" t="s">
        <v>26</v>
      </c>
      <c r="B55" s="38" t="s">
        <v>27</v>
      </c>
      <c r="C55" s="25"/>
      <c r="D55" s="27"/>
      <c r="E55" s="36" t="s">
        <v>63</v>
      </c>
      <c r="F55" s="27"/>
      <c r="G55" s="25"/>
      <c r="H55" s="25"/>
      <c r="I55" s="23">
        <f t="shared" si="4"/>
        <v>11166600</v>
      </c>
      <c r="J55" s="23">
        <v>1.006E7</v>
      </c>
      <c r="K55" s="23">
        <v>9221667.0</v>
      </c>
      <c r="L55" s="24">
        <v>1106600.0</v>
      </c>
      <c r="M55" s="25"/>
      <c r="N55" s="25"/>
      <c r="O55" s="24">
        <f t="shared" si="2"/>
        <v>150900</v>
      </c>
      <c r="P55" s="24">
        <f t="shared" si="3"/>
        <v>9909100</v>
      </c>
      <c r="Q55" s="26"/>
      <c r="R55" s="27"/>
      <c r="S55" s="28">
        <v>2.00250030407716E15</v>
      </c>
    </row>
    <row r="56">
      <c r="A56" s="34" t="s">
        <v>26</v>
      </c>
      <c r="B56" s="38" t="s">
        <v>27</v>
      </c>
      <c r="C56" s="25"/>
      <c r="D56" s="27"/>
      <c r="E56" s="36" t="s">
        <v>63</v>
      </c>
      <c r="F56" s="27"/>
      <c r="G56" s="25"/>
      <c r="H56" s="25"/>
      <c r="I56" s="23">
        <f t="shared" si="4"/>
        <v>3803526</v>
      </c>
      <c r="J56" s="23">
        <v>3426600.0</v>
      </c>
      <c r="K56" s="23">
        <v>3141050.0</v>
      </c>
      <c r="L56" s="24">
        <v>376926.0</v>
      </c>
      <c r="M56" s="25"/>
      <c r="N56" s="25"/>
      <c r="O56" s="24">
        <f t="shared" si="2"/>
        <v>51399</v>
      </c>
      <c r="P56" s="24">
        <f t="shared" si="3"/>
        <v>3375201</v>
      </c>
      <c r="Q56" s="26"/>
      <c r="R56" s="27"/>
      <c r="S56" s="28">
        <v>4.00250030360728E15</v>
      </c>
    </row>
    <row r="57">
      <c r="A57" s="34" t="s">
        <v>26</v>
      </c>
      <c r="B57" s="38" t="s">
        <v>27</v>
      </c>
      <c r="C57" s="25"/>
      <c r="D57" s="27"/>
      <c r="E57" s="36" t="s">
        <v>63</v>
      </c>
      <c r="F57" s="27"/>
      <c r="G57" s="25"/>
      <c r="H57" s="25"/>
      <c r="I57" s="23">
        <f t="shared" si="4"/>
        <v>19701390</v>
      </c>
      <c r="J57" s="23">
        <v>1.7749E7</v>
      </c>
      <c r="K57" s="23">
        <v>1.6269917E7</v>
      </c>
      <c r="L57" s="24">
        <v>1952390.0</v>
      </c>
      <c r="M57" s="25"/>
      <c r="N57" s="25"/>
      <c r="O57" s="24">
        <f t="shared" si="2"/>
        <v>266235</v>
      </c>
      <c r="P57" s="24">
        <f t="shared" si="3"/>
        <v>17482765</v>
      </c>
      <c r="Q57" s="26"/>
      <c r="R57" s="27"/>
      <c r="S57" s="28">
        <v>2.00250030511931E15</v>
      </c>
    </row>
    <row r="58">
      <c r="A58" s="34" t="s">
        <v>26</v>
      </c>
      <c r="B58" s="38" t="s">
        <v>27</v>
      </c>
      <c r="C58" s="25"/>
      <c r="D58" s="27"/>
      <c r="E58" s="36" t="s">
        <v>63</v>
      </c>
      <c r="F58" s="27"/>
      <c r="G58" s="25"/>
      <c r="H58" s="25"/>
      <c r="I58" s="23">
        <f t="shared" si="4"/>
        <v>8778819</v>
      </c>
      <c r="J58" s="23">
        <v>7908848.0</v>
      </c>
      <c r="K58" s="23">
        <v>7249759.0</v>
      </c>
      <c r="L58" s="24">
        <v>869971.0</v>
      </c>
      <c r="M58" s="25"/>
      <c r="N58" s="25"/>
      <c r="O58" s="24">
        <f t="shared" si="2"/>
        <v>118632.72</v>
      </c>
      <c r="P58" s="24">
        <f t="shared" si="3"/>
        <v>7790215.28</v>
      </c>
      <c r="Q58" s="26"/>
      <c r="R58" s="27"/>
      <c r="S58" s="28">
        <v>2.00250030535748E15</v>
      </c>
    </row>
    <row r="59">
      <c r="A59" s="34" t="s">
        <v>26</v>
      </c>
      <c r="B59" s="38" t="s">
        <v>27</v>
      </c>
      <c r="C59" s="25"/>
      <c r="D59" s="27"/>
      <c r="E59" s="36" t="s">
        <v>64</v>
      </c>
      <c r="F59" s="27"/>
      <c r="G59" s="25"/>
      <c r="H59" s="25"/>
      <c r="I59" s="23">
        <f t="shared" si="4"/>
        <v>22021290</v>
      </c>
      <c r="J59" s="23">
        <v>1.9839E7</v>
      </c>
      <c r="K59" s="23">
        <v>1.818575E7</v>
      </c>
      <c r="L59" s="24">
        <v>2182290.0</v>
      </c>
      <c r="M59" s="25"/>
      <c r="N59" s="25"/>
      <c r="O59" s="24">
        <f t="shared" si="2"/>
        <v>297585</v>
      </c>
      <c r="P59" s="24">
        <f t="shared" si="3"/>
        <v>19541415</v>
      </c>
      <c r="Q59" s="26"/>
      <c r="R59" s="27"/>
      <c r="S59" s="28">
        <v>2.00250030539919E15</v>
      </c>
    </row>
    <row r="60">
      <c r="A60" s="34" t="s">
        <v>26</v>
      </c>
      <c r="B60" s="38" t="s">
        <v>27</v>
      </c>
      <c r="C60" s="25"/>
      <c r="D60" s="27"/>
      <c r="E60" s="36" t="s">
        <v>64</v>
      </c>
      <c r="F60" s="27"/>
      <c r="G60" s="25"/>
      <c r="H60" s="25"/>
      <c r="I60" s="23">
        <f t="shared" si="4"/>
        <v>9251295</v>
      </c>
      <c r="J60" s="23">
        <v>8334500.0</v>
      </c>
      <c r="K60" s="23">
        <v>7639958.0</v>
      </c>
      <c r="L60" s="24">
        <v>916795.0</v>
      </c>
      <c r="M60" s="25"/>
      <c r="N60" s="25"/>
      <c r="O60" s="24">
        <f t="shared" si="2"/>
        <v>125017.5</v>
      </c>
      <c r="P60" s="24">
        <f t="shared" si="3"/>
        <v>8209482.5</v>
      </c>
      <c r="Q60" s="26"/>
      <c r="R60" s="27"/>
      <c r="S60" s="28">
        <v>4.00250030673775E15</v>
      </c>
    </row>
    <row r="61">
      <c r="A61" s="34" t="s">
        <v>26</v>
      </c>
      <c r="B61" s="38" t="s">
        <v>27</v>
      </c>
      <c r="C61" s="25"/>
      <c r="D61" s="27"/>
      <c r="E61" s="36" t="s">
        <v>64</v>
      </c>
      <c r="F61" s="27"/>
      <c r="G61" s="25"/>
      <c r="H61" s="25"/>
      <c r="I61" s="23">
        <f t="shared" si="4"/>
        <v>8040202</v>
      </c>
      <c r="J61" s="23">
        <v>7243420.0</v>
      </c>
      <c r="K61" s="23">
        <v>6639848.0</v>
      </c>
      <c r="L61" s="24">
        <v>796782.0</v>
      </c>
      <c r="M61" s="25"/>
      <c r="N61" s="25"/>
      <c r="O61" s="24">
        <f t="shared" si="2"/>
        <v>108651.3</v>
      </c>
      <c r="P61" s="24">
        <f t="shared" si="3"/>
        <v>7134768.7</v>
      </c>
      <c r="Q61" s="26"/>
      <c r="R61" s="27"/>
      <c r="S61" s="28">
        <v>2.00250031718658E15</v>
      </c>
    </row>
    <row r="62">
      <c r="A62" s="34" t="s">
        <v>54</v>
      </c>
      <c r="B62" s="38" t="s">
        <v>27</v>
      </c>
      <c r="C62" s="25"/>
      <c r="D62" s="27"/>
      <c r="E62" s="36" t="s">
        <v>64</v>
      </c>
      <c r="F62" s="27"/>
      <c r="G62" s="25"/>
      <c r="H62" s="25"/>
      <c r="I62" s="23">
        <f t="shared" si="4"/>
        <v>8996885</v>
      </c>
      <c r="J62" s="23">
        <v>8032933.0</v>
      </c>
      <c r="K62" s="23">
        <v>8032933.0</v>
      </c>
      <c r="L62" s="24">
        <v>963952.0</v>
      </c>
      <c r="M62" s="25"/>
      <c r="N62" s="25"/>
      <c r="O62" s="24">
        <f t="shared" si="2"/>
        <v>120493.995</v>
      </c>
      <c r="P62" s="24">
        <f t="shared" si="3"/>
        <v>7912439.005</v>
      </c>
      <c r="Q62" s="26"/>
      <c r="R62" s="27"/>
      <c r="S62" s="28">
        <v>2.01250032646658E15</v>
      </c>
    </row>
    <row r="63">
      <c r="A63" s="34" t="s">
        <v>26</v>
      </c>
      <c r="B63" s="38" t="s">
        <v>27</v>
      </c>
      <c r="C63" s="25"/>
      <c r="D63" s="27"/>
      <c r="E63" s="36" t="s">
        <v>65</v>
      </c>
      <c r="F63" s="27"/>
      <c r="G63" s="25"/>
      <c r="H63" s="25"/>
      <c r="I63" s="23">
        <f t="shared" si="4"/>
        <v>504000</v>
      </c>
      <c r="J63" s="23">
        <v>504000.0</v>
      </c>
      <c r="K63" s="23">
        <v>462000.0</v>
      </c>
      <c r="L63" s="25"/>
      <c r="M63" s="24">
        <v>55440.0</v>
      </c>
      <c r="N63" s="25"/>
      <c r="O63" s="24">
        <f t="shared" si="2"/>
        <v>7560</v>
      </c>
      <c r="P63" s="24">
        <f t="shared" si="3"/>
        <v>551880</v>
      </c>
      <c r="Q63" s="26"/>
      <c r="R63" s="27"/>
      <c r="S63" s="28">
        <v>2.0125003263711E15</v>
      </c>
    </row>
    <row r="64">
      <c r="A64" s="34" t="s">
        <v>23</v>
      </c>
      <c r="B64" s="38" t="s">
        <v>24</v>
      </c>
      <c r="C64" s="25"/>
      <c r="D64" s="27"/>
      <c r="E64" s="33">
        <v>45879.0</v>
      </c>
      <c r="F64" s="27"/>
      <c r="G64" s="25"/>
      <c r="H64" s="25"/>
      <c r="I64" s="23">
        <f t="shared" si="4"/>
        <v>25015692</v>
      </c>
      <c r="J64" s="23">
        <v>2.253666E7</v>
      </c>
      <c r="K64" s="23">
        <v>2.0658604E7</v>
      </c>
      <c r="L64" s="24">
        <v>2479032.0</v>
      </c>
      <c r="M64" s="25"/>
      <c r="N64" s="25"/>
      <c r="O64" s="24">
        <f t="shared" si="2"/>
        <v>338049.9</v>
      </c>
      <c r="P64" s="24">
        <f t="shared" si="3"/>
        <v>22198610.1</v>
      </c>
      <c r="Q64" s="26"/>
      <c r="R64" s="27"/>
      <c r="S64" s="28">
        <v>2.01250032639939E15</v>
      </c>
    </row>
    <row r="65">
      <c r="A65" s="34" t="s">
        <v>66</v>
      </c>
      <c r="B65" s="38" t="s">
        <v>67</v>
      </c>
      <c r="C65" s="25"/>
      <c r="D65" s="27"/>
      <c r="E65" s="36" t="s">
        <v>68</v>
      </c>
      <c r="F65" s="27"/>
      <c r="G65" s="25"/>
      <c r="H65" s="25"/>
      <c r="I65" s="23">
        <f t="shared" si="4"/>
        <v>3496240</v>
      </c>
      <c r="J65" s="23">
        <v>3149766.0</v>
      </c>
      <c r="K65" s="23">
        <v>2887284.0</v>
      </c>
      <c r="L65" s="24">
        <v>346474.0</v>
      </c>
      <c r="M65" s="25"/>
      <c r="N65" s="25"/>
      <c r="O65" s="24">
        <f t="shared" si="2"/>
        <v>47246.49</v>
      </c>
      <c r="P65" s="24">
        <f t="shared" si="3"/>
        <v>3102519.51</v>
      </c>
      <c r="Q65" s="26"/>
      <c r="R65" s="27"/>
      <c r="S65" s="28">
        <v>2.01250032638677E15</v>
      </c>
    </row>
    <row r="66">
      <c r="A66" s="34" t="s">
        <v>66</v>
      </c>
      <c r="B66" s="38" t="s">
        <v>67</v>
      </c>
      <c r="C66" s="25"/>
      <c r="D66" s="27"/>
      <c r="E66" s="36" t="s">
        <v>68</v>
      </c>
      <c r="F66" s="27"/>
      <c r="G66" s="25"/>
      <c r="H66" s="25"/>
      <c r="I66" s="23">
        <f t="shared" si="4"/>
        <v>3993480</v>
      </c>
      <c r="J66" s="23">
        <v>3597729.0</v>
      </c>
      <c r="K66" s="23">
        <v>3297918.0</v>
      </c>
      <c r="L66" s="24">
        <v>395751.0</v>
      </c>
      <c r="M66" s="25"/>
      <c r="N66" s="25"/>
      <c r="O66" s="24">
        <f t="shared" si="2"/>
        <v>53965.935</v>
      </c>
      <c r="P66" s="24">
        <f t="shared" si="3"/>
        <v>3543763.065</v>
      </c>
      <c r="Q66" s="26"/>
      <c r="R66" s="27"/>
      <c r="S66" s="28">
        <v>2.01250032648077E15</v>
      </c>
    </row>
    <row r="67">
      <c r="A67" s="34" t="s">
        <v>66</v>
      </c>
      <c r="B67" s="38" t="s">
        <v>67</v>
      </c>
      <c r="C67" s="25"/>
      <c r="D67" s="27"/>
      <c r="E67" s="36" t="s">
        <v>68</v>
      </c>
      <c r="F67" s="27"/>
      <c r="G67" s="25"/>
      <c r="H67" s="25"/>
      <c r="I67" s="23">
        <f t="shared" si="4"/>
        <v>1900000</v>
      </c>
      <c r="J67" s="23">
        <v>1711712.0</v>
      </c>
      <c r="K67" s="23">
        <v>1569069.0</v>
      </c>
      <c r="L67" s="24">
        <v>188288.0</v>
      </c>
      <c r="M67" s="25"/>
      <c r="N67" s="25"/>
      <c r="O67" s="24">
        <f t="shared" si="2"/>
        <v>25675.68</v>
      </c>
      <c r="P67" s="24">
        <f t="shared" si="3"/>
        <v>1686036.32</v>
      </c>
      <c r="Q67" s="26"/>
      <c r="R67" s="27"/>
      <c r="S67" s="28">
        <v>2.00250032655457E15</v>
      </c>
    </row>
    <row r="68">
      <c r="A68" s="34" t="s">
        <v>66</v>
      </c>
      <c r="B68" s="38" t="s">
        <v>67</v>
      </c>
      <c r="C68" s="25"/>
      <c r="D68" s="27"/>
      <c r="E68" s="36" t="s">
        <v>68</v>
      </c>
      <c r="F68" s="27"/>
      <c r="G68" s="25"/>
      <c r="H68" s="25"/>
      <c r="I68" s="23">
        <f t="shared" si="4"/>
        <v>1900000</v>
      </c>
      <c r="J68" s="23">
        <v>1711712.0</v>
      </c>
      <c r="K68" s="23">
        <v>1569069.0</v>
      </c>
      <c r="L68" s="24">
        <v>188288.0</v>
      </c>
      <c r="M68" s="25"/>
      <c r="N68" s="25"/>
      <c r="O68" s="24">
        <f t="shared" si="2"/>
        <v>25675.68</v>
      </c>
      <c r="P68" s="24">
        <f t="shared" si="3"/>
        <v>1686036.32</v>
      </c>
      <c r="Q68" s="26"/>
      <c r="R68" s="27"/>
      <c r="S68" s="28">
        <v>2.00250032716423E15</v>
      </c>
    </row>
    <row r="69">
      <c r="A69" s="34" t="s">
        <v>66</v>
      </c>
      <c r="B69" s="38" t="s">
        <v>67</v>
      </c>
      <c r="C69" s="25"/>
      <c r="D69" s="27"/>
      <c r="E69" s="36" t="s">
        <v>68</v>
      </c>
      <c r="F69" s="27"/>
      <c r="G69" s="25"/>
      <c r="H69" s="25"/>
      <c r="I69" s="23">
        <f t="shared" si="4"/>
        <v>1900000</v>
      </c>
      <c r="J69" s="23">
        <v>1711712.0</v>
      </c>
      <c r="K69" s="23">
        <v>1569069.0</v>
      </c>
      <c r="L69" s="24">
        <v>188288.0</v>
      </c>
      <c r="M69" s="25"/>
      <c r="N69" s="25"/>
      <c r="O69" s="24">
        <f t="shared" si="2"/>
        <v>25675.68</v>
      </c>
      <c r="P69" s="24">
        <f t="shared" si="3"/>
        <v>1686036.32</v>
      </c>
      <c r="Q69" s="26"/>
      <c r="R69" s="27"/>
      <c r="S69" s="28">
        <v>2.02250033205724E15</v>
      </c>
    </row>
    <row r="70">
      <c r="A70" s="34" t="s">
        <v>66</v>
      </c>
      <c r="B70" s="38" t="s">
        <v>67</v>
      </c>
      <c r="C70" s="25"/>
      <c r="D70" s="27"/>
      <c r="E70" s="36" t="s">
        <v>68</v>
      </c>
      <c r="F70" s="27"/>
      <c r="G70" s="25"/>
      <c r="H70" s="25"/>
      <c r="I70" s="23">
        <f t="shared" si="4"/>
        <v>1900000</v>
      </c>
      <c r="J70" s="23">
        <v>1711712.0</v>
      </c>
      <c r="K70" s="23">
        <v>1569069.0</v>
      </c>
      <c r="L70" s="24">
        <v>188288.0</v>
      </c>
      <c r="M70" s="25"/>
      <c r="N70" s="25"/>
      <c r="O70" s="24">
        <f t="shared" si="2"/>
        <v>25675.68</v>
      </c>
      <c r="P70" s="24">
        <f t="shared" si="3"/>
        <v>1686036.32</v>
      </c>
      <c r="Q70" s="26"/>
      <c r="R70" s="27"/>
      <c r="S70" s="28">
        <v>2.00250033527335E15</v>
      </c>
    </row>
    <row r="71">
      <c r="A71" s="34" t="s">
        <v>66</v>
      </c>
      <c r="B71" s="38" t="s">
        <v>67</v>
      </c>
      <c r="C71" s="25"/>
      <c r="D71" s="27"/>
      <c r="E71" s="36" t="s">
        <v>68</v>
      </c>
      <c r="F71" s="27"/>
      <c r="G71" s="25"/>
      <c r="H71" s="25"/>
      <c r="I71" s="23">
        <f t="shared" si="4"/>
        <v>1900000</v>
      </c>
      <c r="J71" s="23">
        <v>1711712.0</v>
      </c>
      <c r="K71" s="23">
        <v>1569069.0</v>
      </c>
      <c r="L71" s="24">
        <v>188288.0</v>
      </c>
      <c r="M71" s="25"/>
      <c r="N71" s="25"/>
      <c r="O71" s="24">
        <f t="shared" si="2"/>
        <v>25675.68</v>
      </c>
      <c r="P71" s="24">
        <f t="shared" si="3"/>
        <v>1686036.32</v>
      </c>
      <c r="Q71" s="26"/>
      <c r="R71" s="27"/>
      <c r="S71" s="28">
        <v>2.00250033534192E15</v>
      </c>
    </row>
    <row r="72">
      <c r="A72" s="34" t="s">
        <v>69</v>
      </c>
      <c r="B72" s="38" t="s">
        <v>27</v>
      </c>
      <c r="C72" s="25"/>
      <c r="D72" s="27"/>
      <c r="E72" s="36" t="s">
        <v>70</v>
      </c>
      <c r="F72" s="27"/>
      <c r="G72" s="25"/>
      <c r="H72" s="25"/>
      <c r="I72" s="23">
        <f t="shared" si="4"/>
        <v>7436578</v>
      </c>
      <c r="J72" s="23">
        <v>6639802.0</v>
      </c>
      <c r="K72" s="23">
        <v>6639802.0</v>
      </c>
      <c r="L72" s="24">
        <v>796776.0</v>
      </c>
      <c r="M72" s="25"/>
      <c r="N72" s="25"/>
      <c r="O72" s="24">
        <f t="shared" si="2"/>
        <v>99597.03</v>
      </c>
      <c r="P72" s="24">
        <f t="shared" si="3"/>
        <v>6540204.97</v>
      </c>
      <c r="Q72" s="26"/>
      <c r="R72" s="27"/>
      <c r="S72" s="28">
        <v>2.00250033510522E15</v>
      </c>
    </row>
    <row r="73">
      <c r="A73" s="34" t="s">
        <v>23</v>
      </c>
      <c r="B73" s="38" t="s">
        <v>24</v>
      </c>
      <c r="C73" s="25"/>
      <c r="D73" s="27"/>
      <c r="E73" s="36" t="s">
        <v>70</v>
      </c>
      <c r="F73" s="27"/>
      <c r="G73" s="25"/>
      <c r="H73" s="25"/>
      <c r="I73" s="23">
        <f t="shared" si="4"/>
        <v>13300000</v>
      </c>
      <c r="J73" s="23">
        <v>1.1981982E7</v>
      </c>
      <c r="K73" s="23">
        <v>1.0983484E7</v>
      </c>
      <c r="L73" s="24">
        <v>1318018.0</v>
      </c>
      <c r="M73" s="25"/>
      <c r="N73" s="25"/>
      <c r="O73" s="24">
        <f t="shared" si="2"/>
        <v>179729.73</v>
      </c>
      <c r="P73" s="24">
        <f t="shared" si="3"/>
        <v>11802252.27</v>
      </c>
      <c r="Q73" s="26"/>
      <c r="R73" s="27"/>
      <c r="S73" s="28">
        <v>3.00250034224353E15</v>
      </c>
    </row>
    <row r="74">
      <c r="A74" s="34" t="s">
        <v>23</v>
      </c>
      <c r="B74" s="38" t="s">
        <v>24</v>
      </c>
      <c r="C74" s="25"/>
      <c r="D74" s="27"/>
      <c r="E74" s="36" t="s">
        <v>71</v>
      </c>
      <c r="F74" s="27"/>
      <c r="G74" s="25"/>
      <c r="H74" s="25"/>
      <c r="I74" s="23">
        <f t="shared" si="4"/>
        <v>101399620</v>
      </c>
      <c r="J74" s="23">
        <v>9.1351009E7</v>
      </c>
      <c r="K74" s="23">
        <v>8.3738425E7</v>
      </c>
      <c r="L74" s="24">
        <v>1.0048611E7</v>
      </c>
      <c r="M74" s="25"/>
      <c r="N74" s="25"/>
      <c r="O74" s="24">
        <f t="shared" si="2"/>
        <v>1370265.135</v>
      </c>
      <c r="P74" s="24">
        <f t="shared" si="3"/>
        <v>89980743.87</v>
      </c>
      <c r="Q74" s="26"/>
      <c r="R74" s="27"/>
      <c r="S74" s="28">
        <v>3.00250034224227E15</v>
      </c>
    </row>
    <row r="75">
      <c r="A75" s="34" t="s">
        <v>72</v>
      </c>
      <c r="B75" s="38" t="s">
        <v>73</v>
      </c>
      <c r="C75" s="25"/>
      <c r="D75" s="27"/>
      <c r="E75" s="36" t="s">
        <v>71</v>
      </c>
      <c r="F75" s="27"/>
      <c r="G75" s="25"/>
      <c r="H75" s="25"/>
      <c r="I75" s="23">
        <f t="shared" si="4"/>
        <v>16510441</v>
      </c>
      <c r="J75" s="23">
        <v>1.4874271E7</v>
      </c>
      <c r="K75" s="23">
        <v>1.3634749E7</v>
      </c>
      <c r="L75" s="24">
        <v>1636170.0</v>
      </c>
      <c r="M75" s="25"/>
      <c r="N75" s="25"/>
      <c r="O75" s="24">
        <f t="shared" si="2"/>
        <v>223114.065</v>
      </c>
      <c r="P75" s="24">
        <f t="shared" si="3"/>
        <v>14651156.94</v>
      </c>
      <c r="Q75" s="26"/>
      <c r="R75" s="27"/>
      <c r="S75" s="28">
        <v>3.00250034224603E15</v>
      </c>
    </row>
    <row r="76">
      <c r="A76" s="34" t="s">
        <v>23</v>
      </c>
      <c r="B76" s="38" t="s">
        <v>24</v>
      </c>
      <c r="C76" s="25"/>
      <c r="D76" s="27"/>
      <c r="E76" s="36" t="s">
        <v>71</v>
      </c>
      <c r="F76" s="27"/>
      <c r="G76" s="25"/>
      <c r="H76" s="25"/>
      <c r="I76" s="23">
        <f t="shared" si="4"/>
        <v>26259000</v>
      </c>
      <c r="J76" s="23">
        <v>2.3656757E7</v>
      </c>
      <c r="K76" s="23">
        <v>2.168536E7</v>
      </c>
      <c r="L76" s="24">
        <v>2602243.0</v>
      </c>
      <c r="M76" s="25"/>
      <c r="N76" s="25"/>
      <c r="O76" s="24">
        <f t="shared" si="2"/>
        <v>354851.355</v>
      </c>
      <c r="P76" s="24">
        <f t="shared" si="3"/>
        <v>23301905.65</v>
      </c>
      <c r="Q76" s="26"/>
      <c r="R76" s="27"/>
      <c r="S76" s="28">
        <v>3.00250034224695E15</v>
      </c>
    </row>
    <row r="77">
      <c r="A77" s="34" t="s">
        <v>26</v>
      </c>
      <c r="B77" s="38" t="s">
        <v>27</v>
      </c>
      <c r="C77" s="25"/>
      <c r="D77" s="27"/>
      <c r="E77" s="36" t="s">
        <v>74</v>
      </c>
      <c r="F77" s="27"/>
      <c r="G77" s="25"/>
      <c r="H77" s="25"/>
      <c r="I77" s="23">
        <f t="shared" si="4"/>
        <v>1913640</v>
      </c>
      <c r="J77" s="23">
        <v>1724000.0</v>
      </c>
      <c r="K77" s="23">
        <v>1580333.0</v>
      </c>
      <c r="L77" s="24">
        <v>189640.0</v>
      </c>
      <c r="M77" s="25"/>
      <c r="N77" s="25"/>
      <c r="O77" s="24">
        <f t="shared" si="2"/>
        <v>25860</v>
      </c>
      <c r="P77" s="24">
        <f t="shared" si="3"/>
        <v>1698140</v>
      </c>
      <c r="Q77" s="26"/>
      <c r="R77" s="27"/>
      <c r="S77" s="28">
        <v>3.00250034224524E15</v>
      </c>
    </row>
    <row r="78">
      <c r="A78" s="34" t="s">
        <v>26</v>
      </c>
      <c r="B78" s="38" t="s">
        <v>27</v>
      </c>
      <c r="C78" s="25"/>
      <c r="D78" s="27"/>
      <c r="E78" s="36" t="s">
        <v>74</v>
      </c>
      <c r="F78" s="27"/>
      <c r="G78" s="25"/>
      <c r="H78" s="25"/>
      <c r="I78" s="23">
        <f t="shared" si="4"/>
        <v>13519800</v>
      </c>
      <c r="J78" s="23">
        <v>1.218E7</v>
      </c>
      <c r="K78" s="23">
        <v>1.1165E7</v>
      </c>
      <c r="L78" s="24">
        <v>1339800.0</v>
      </c>
      <c r="M78" s="25"/>
      <c r="N78" s="25"/>
      <c r="O78" s="24">
        <f t="shared" si="2"/>
        <v>182700</v>
      </c>
      <c r="P78" s="24">
        <f t="shared" si="3"/>
        <v>11997300</v>
      </c>
      <c r="Q78" s="26"/>
      <c r="R78" s="27"/>
      <c r="S78" s="28">
        <v>2.0125003422532E15</v>
      </c>
    </row>
    <row r="79">
      <c r="A79" s="34" t="s">
        <v>26</v>
      </c>
      <c r="B79" s="38" t="s">
        <v>27</v>
      </c>
      <c r="C79" s="25"/>
      <c r="D79" s="27"/>
      <c r="E79" s="36" t="s">
        <v>74</v>
      </c>
      <c r="F79" s="27"/>
      <c r="G79" s="25"/>
      <c r="H79" s="25"/>
      <c r="I79" s="23">
        <f t="shared" si="4"/>
        <v>7202851</v>
      </c>
      <c r="J79" s="23">
        <v>6489055.0</v>
      </c>
      <c r="K79" s="23">
        <v>5948300.0</v>
      </c>
      <c r="L79" s="24">
        <v>713796.0</v>
      </c>
      <c r="M79" s="25"/>
      <c r="N79" s="25"/>
      <c r="O79" s="24">
        <f t="shared" si="2"/>
        <v>97335.825</v>
      </c>
      <c r="P79" s="24">
        <f t="shared" si="3"/>
        <v>6391719.175</v>
      </c>
      <c r="Q79" s="26"/>
      <c r="R79" s="27"/>
      <c r="S79" s="28">
        <v>2.01250034200207E15</v>
      </c>
    </row>
    <row r="80">
      <c r="A80" s="34" t="s">
        <v>23</v>
      </c>
      <c r="B80" s="38" t="s">
        <v>24</v>
      </c>
      <c r="C80" s="25"/>
      <c r="D80" s="27"/>
      <c r="E80" s="36" t="s">
        <v>74</v>
      </c>
      <c r="F80" s="27"/>
      <c r="G80" s="25"/>
      <c r="H80" s="25"/>
      <c r="I80" s="23">
        <f t="shared" si="4"/>
        <v>55806908</v>
      </c>
      <c r="J80" s="23">
        <v>5.0276494E7</v>
      </c>
      <c r="K80" s="23">
        <v>4.6086787E7</v>
      </c>
      <c r="L80" s="24">
        <v>5530414.0</v>
      </c>
      <c r="M80" s="25"/>
      <c r="N80" s="25"/>
      <c r="O80" s="24">
        <f t="shared" si="2"/>
        <v>754147.41</v>
      </c>
      <c r="P80" s="24">
        <f t="shared" si="3"/>
        <v>49522346.59</v>
      </c>
      <c r="Q80" s="26"/>
      <c r="R80" s="27"/>
      <c r="S80" s="28">
        <v>2.00250034225537E15</v>
      </c>
    </row>
    <row r="81">
      <c r="A81" s="34" t="s">
        <v>60</v>
      </c>
      <c r="B81" s="38" t="s">
        <v>61</v>
      </c>
      <c r="C81" s="25"/>
      <c r="D81" s="27"/>
      <c r="E81" s="36" t="s">
        <v>74</v>
      </c>
      <c r="F81" s="27"/>
      <c r="G81" s="25"/>
      <c r="H81" s="25"/>
      <c r="I81" s="23">
        <f t="shared" si="4"/>
        <v>5062500</v>
      </c>
      <c r="J81" s="23">
        <v>5062500.0</v>
      </c>
      <c r="K81" s="23">
        <v>4640625.0</v>
      </c>
      <c r="L81" s="25"/>
      <c r="M81" s="24">
        <v>556875.0</v>
      </c>
      <c r="N81" s="25"/>
      <c r="O81" s="24">
        <f t="shared" si="2"/>
        <v>75937.5</v>
      </c>
      <c r="P81" s="24">
        <f t="shared" si="3"/>
        <v>5543437.5</v>
      </c>
      <c r="Q81" s="26"/>
      <c r="R81" s="27"/>
      <c r="S81" s="28">
        <v>2.00250034203614E15</v>
      </c>
    </row>
    <row r="82">
      <c r="A82" s="34" t="s">
        <v>60</v>
      </c>
      <c r="B82" s="38" t="s">
        <v>61</v>
      </c>
      <c r="C82" s="25"/>
      <c r="D82" s="27"/>
      <c r="E82" s="36" t="s">
        <v>74</v>
      </c>
      <c r="F82" s="27"/>
      <c r="G82" s="25"/>
      <c r="H82" s="25"/>
      <c r="I82" s="23">
        <f t="shared" si="4"/>
        <v>6075000</v>
      </c>
      <c r="J82" s="23">
        <v>6075000.0</v>
      </c>
      <c r="K82" s="23">
        <v>5568750.0</v>
      </c>
      <c r="L82" s="25"/>
      <c r="M82" s="24">
        <v>668250.0</v>
      </c>
      <c r="N82" s="25"/>
      <c r="O82" s="24">
        <f t="shared" si="2"/>
        <v>91125</v>
      </c>
      <c r="P82" s="24">
        <f t="shared" si="3"/>
        <v>6652125</v>
      </c>
      <c r="Q82" s="26"/>
      <c r="R82" s="27"/>
      <c r="S82" s="28">
        <v>2.00250034191028E15</v>
      </c>
    </row>
    <row r="83">
      <c r="A83" s="34" t="s">
        <v>60</v>
      </c>
      <c r="B83" s="38" t="s">
        <v>61</v>
      </c>
      <c r="C83" s="25"/>
      <c r="D83" s="27"/>
      <c r="E83" s="36" t="s">
        <v>74</v>
      </c>
      <c r="F83" s="27"/>
      <c r="G83" s="25"/>
      <c r="H83" s="25"/>
      <c r="I83" s="23">
        <f t="shared" si="4"/>
        <v>6075000</v>
      </c>
      <c r="J83" s="23">
        <v>6075000.0</v>
      </c>
      <c r="K83" s="23">
        <v>5568750.0</v>
      </c>
      <c r="L83" s="25"/>
      <c r="M83" s="24">
        <v>668250.0</v>
      </c>
      <c r="N83" s="25"/>
      <c r="O83" s="24">
        <f t="shared" si="2"/>
        <v>91125</v>
      </c>
      <c r="P83" s="24">
        <f t="shared" si="3"/>
        <v>6652125</v>
      </c>
      <c r="Q83" s="26"/>
      <c r="R83" s="27"/>
      <c r="S83" s="28">
        <v>2.00250034223622E15</v>
      </c>
    </row>
    <row r="84">
      <c r="A84" s="34" t="s">
        <v>60</v>
      </c>
      <c r="B84" s="38" t="s">
        <v>61</v>
      </c>
      <c r="C84" s="25"/>
      <c r="D84" s="27"/>
      <c r="E84" s="36" t="s">
        <v>74</v>
      </c>
      <c r="F84" s="27"/>
      <c r="G84" s="25"/>
      <c r="H84" s="25"/>
      <c r="I84" s="23">
        <f t="shared" si="4"/>
        <v>6075000</v>
      </c>
      <c r="J84" s="23">
        <v>6075000.0</v>
      </c>
      <c r="K84" s="23">
        <v>5568750.0</v>
      </c>
      <c r="L84" s="25"/>
      <c r="M84" s="24">
        <v>668250.0</v>
      </c>
      <c r="N84" s="25"/>
      <c r="O84" s="24">
        <f t="shared" si="2"/>
        <v>91125</v>
      </c>
      <c r="P84" s="24">
        <f t="shared" si="3"/>
        <v>6652125</v>
      </c>
      <c r="Q84" s="26"/>
      <c r="R84" s="27"/>
      <c r="S84" s="28">
        <v>2.00250034214283E15</v>
      </c>
    </row>
    <row r="85">
      <c r="A85" s="34" t="s">
        <v>60</v>
      </c>
      <c r="B85" s="38" t="s">
        <v>61</v>
      </c>
      <c r="C85" s="25"/>
      <c r="D85" s="27"/>
      <c r="E85" s="36" t="s">
        <v>74</v>
      </c>
      <c r="F85" s="27"/>
      <c r="G85" s="25"/>
      <c r="H85" s="25"/>
      <c r="I85" s="23">
        <f t="shared" si="4"/>
        <v>8100000</v>
      </c>
      <c r="J85" s="23">
        <v>8100000.0</v>
      </c>
      <c r="K85" s="23">
        <v>7425000.0</v>
      </c>
      <c r="L85" s="25"/>
      <c r="M85" s="24">
        <v>891000.0</v>
      </c>
      <c r="N85" s="25"/>
      <c r="O85" s="24">
        <f t="shared" si="2"/>
        <v>121500</v>
      </c>
      <c r="P85" s="24">
        <f t="shared" si="3"/>
        <v>8869500</v>
      </c>
      <c r="Q85" s="26"/>
      <c r="R85" s="27"/>
      <c r="S85" s="28">
        <v>2.00250034442726E15</v>
      </c>
    </row>
    <row r="86">
      <c r="A86" s="34" t="s">
        <v>26</v>
      </c>
      <c r="B86" s="38" t="s">
        <v>27</v>
      </c>
      <c r="C86" s="25"/>
      <c r="D86" s="27"/>
      <c r="E86" s="36" t="s">
        <v>74</v>
      </c>
      <c r="F86" s="27"/>
      <c r="G86" s="25"/>
      <c r="H86" s="25"/>
      <c r="I86" s="23">
        <f t="shared" si="4"/>
        <v>14328713</v>
      </c>
      <c r="J86" s="23">
        <v>1.290875E7</v>
      </c>
      <c r="K86" s="23">
        <v>1.1833021E7</v>
      </c>
      <c r="L86" s="24">
        <v>1419963.0</v>
      </c>
      <c r="M86" s="25"/>
      <c r="N86" s="25"/>
      <c r="O86" s="24">
        <f t="shared" si="2"/>
        <v>193631.25</v>
      </c>
      <c r="P86" s="24">
        <f t="shared" si="3"/>
        <v>12715118.75</v>
      </c>
      <c r="Q86" s="26"/>
      <c r="R86" s="27"/>
      <c r="S86" s="28">
        <v>2.00250034441231E15</v>
      </c>
    </row>
    <row r="87">
      <c r="A87" s="34" t="s">
        <v>26</v>
      </c>
      <c r="B87" s="38" t="s">
        <v>27</v>
      </c>
      <c r="C87" s="25"/>
      <c r="D87" s="27"/>
      <c r="E87" s="36" t="s">
        <v>74</v>
      </c>
      <c r="F87" s="27"/>
      <c r="G87" s="25"/>
      <c r="H87" s="25"/>
      <c r="I87" s="23">
        <f t="shared" si="4"/>
        <v>5189250</v>
      </c>
      <c r="J87" s="23">
        <v>4675000.0</v>
      </c>
      <c r="K87" s="23">
        <v>4285417.0</v>
      </c>
      <c r="L87" s="24">
        <v>514250.0</v>
      </c>
      <c r="M87" s="25"/>
      <c r="N87" s="25"/>
      <c r="O87" s="24">
        <f t="shared" si="2"/>
        <v>70125</v>
      </c>
      <c r="P87" s="24">
        <f t="shared" si="3"/>
        <v>4604875</v>
      </c>
      <c r="Q87" s="26"/>
      <c r="R87" s="27"/>
      <c r="S87" s="28">
        <v>2.00250034601998E15</v>
      </c>
    </row>
    <row r="88">
      <c r="A88" s="34" t="s">
        <v>26</v>
      </c>
      <c r="B88" s="38" t="s">
        <v>27</v>
      </c>
      <c r="C88" s="25"/>
      <c r="D88" s="27"/>
      <c r="E88" s="36" t="s">
        <v>74</v>
      </c>
      <c r="F88" s="27"/>
      <c r="G88" s="25"/>
      <c r="H88" s="25"/>
      <c r="I88" s="23">
        <f t="shared" si="4"/>
        <v>7401447</v>
      </c>
      <c r="J88" s="23">
        <v>6667970.0</v>
      </c>
      <c r="K88" s="23">
        <v>6112306.0</v>
      </c>
      <c r="L88" s="24">
        <v>733477.0</v>
      </c>
      <c r="M88" s="25"/>
      <c r="N88" s="25"/>
      <c r="O88" s="24">
        <f t="shared" si="2"/>
        <v>100019.55</v>
      </c>
      <c r="P88" s="24">
        <f t="shared" si="3"/>
        <v>6567950.45</v>
      </c>
      <c r="Q88" s="26"/>
      <c r="R88" s="27"/>
      <c r="S88" s="28">
        <v>2.00250034604549E15</v>
      </c>
    </row>
    <row r="89">
      <c r="A89" s="34" t="s">
        <v>75</v>
      </c>
      <c r="B89" s="38" t="s">
        <v>76</v>
      </c>
      <c r="C89" s="25"/>
      <c r="D89" s="27"/>
      <c r="E89" s="36" t="s">
        <v>74</v>
      </c>
      <c r="F89" s="27"/>
      <c r="G89" s="25"/>
      <c r="H89" s="25"/>
      <c r="I89" s="23">
        <f t="shared" si="4"/>
        <v>18315000</v>
      </c>
      <c r="J89" s="23">
        <v>1.65E7</v>
      </c>
      <c r="K89" s="23">
        <v>1.5125E7</v>
      </c>
      <c r="L89" s="24">
        <v>1815000.0</v>
      </c>
      <c r="M89" s="25"/>
      <c r="N89" s="25"/>
      <c r="O89" s="24">
        <f t="shared" si="2"/>
        <v>247500</v>
      </c>
      <c r="P89" s="24">
        <f t="shared" si="3"/>
        <v>16252500</v>
      </c>
      <c r="Q89" s="26"/>
      <c r="R89" s="27"/>
      <c r="S89" s="28">
        <v>2.00250034909385E15</v>
      </c>
    </row>
    <row r="90">
      <c r="A90" s="34" t="s">
        <v>77</v>
      </c>
      <c r="B90" s="38" t="s">
        <v>27</v>
      </c>
      <c r="C90" s="25"/>
      <c r="D90" s="27"/>
      <c r="E90" s="36" t="s">
        <v>74</v>
      </c>
      <c r="F90" s="27"/>
      <c r="G90" s="25"/>
      <c r="H90" s="25"/>
      <c r="I90" s="23">
        <v>1.0430043294E8</v>
      </c>
      <c r="J90" s="23">
        <v>9.3964354E7</v>
      </c>
      <c r="K90" s="23">
        <f>J90*11/12</f>
        <v>86133991.17</v>
      </c>
      <c r="L90" s="24">
        <f>J90*11%</f>
        <v>10336078.94</v>
      </c>
      <c r="M90" s="25"/>
      <c r="N90" s="25"/>
      <c r="O90" s="24">
        <f t="shared" si="2"/>
        <v>1409465.31</v>
      </c>
      <c r="P90" s="24">
        <f t="shared" si="3"/>
        <v>92554888.69</v>
      </c>
      <c r="Q90" s="26"/>
      <c r="R90" s="27"/>
      <c r="S90" s="28">
        <v>2.01250034221619E15</v>
      </c>
    </row>
    <row r="91">
      <c r="A91" s="34" t="s">
        <v>26</v>
      </c>
      <c r="B91" s="38" t="s">
        <v>27</v>
      </c>
      <c r="C91" s="25"/>
      <c r="D91" s="27"/>
      <c r="E91" s="36" t="s">
        <v>78</v>
      </c>
      <c r="F91" s="27"/>
      <c r="G91" s="25"/>
      <c r="H91" s="25"/>
      <c r="I91" s="23">
        <f t="shared" ref="I91:I110" si="5">J91+L91</f>
        <v>3542787</v>
      </c>
      <c r="J91" s="23">
        <v>3191700.0</v>
      </c>
      <c r="K91" s="23">
        <v>2925725.0</v>
      </c>
      <c r="L91" s="24">
        <v>351087.0</v>
      </c>
      <c r="M91" s="25"/>
      <c r="N91" s="25"/>
      <c r="O91" s="24">
        <f t="shared" si="2"/>
        <v>47875.5</v>
      </c>
      <c r="P91" s="24">
        <f t="shared" si="3"/>
        <v>3143824.5</v>
      </c>
      <c r="Q91" s="26"/>
      <c r="R91" s="27"/>
      <c r="S91" s="28">
        <v>2.01250034919011E15</v>
      </c>
    </row>
    <row r="92">
      <c r="A92" s="34" t="s">
        <v>26</v>
      </c>
      <c r="B92" s="38" t="s">
        <v>27</v>
      </c>
      <c r="C92" s="25"/>
      <c r="D92" s="27"/>
      <c r="E92" s="36" t="s">
        <v>78</v>
      </c>
      <c r="F92" s="27"/>
      <c r="G92" s="25"/>
      <c r="H92" s="25"/>
      <c r="I92" s="23">
        <f t="shared" si="5"/>
        <v>1498500</v>
      </c>
      <c r="J92" s="23">
        <v>1350000.0</v>
      </c>
      <c r="K92" s="23">
        <v>1237500.0</v>
      </c>
      <c r="L92" s="24">
        <v>148500.0</v>
      </c>
      <c r="M92" s="25"/>
      <c r="N92" s="25"/>
      <c r="O92" s="24">
        <f t="shared" si="2"/>
        <v>20250</v>
      </c>
      <c r="P92" s="24">
        <f t="shared" si="3"/>
        <v>1329750</v>
      </c>
      <c r="Q92" s="26"/>
      <c r="R92" s="27"/>
      <c r="S92" s="28">
        <v>2.02250034221619E15</v>
      </c>
    </row>
    <row r="93">
      <c r="A93" s="34" t="s">
        <v>66</v>
      </c>
      <c r="B93" s="38" t="s">
        <v>67</v>
      </c>
      <c r="C93" s="25"/>
      <c r="D93" s="27"/>
      <c r="E93" s="36" t="s">
        <v>79</v>
      </c>
      <c r="F93" s="27"/>
      <c r="G93" s="25"/>
      <c r="H93" s="25"/>
      <c r="I93" s="23">
        <f t="shared" si="5"/>
        <v>42772100</v>
      </c>
      <c r="J93" s="23">
        <v>3.8533423E7</v>
      </c>
      <c r="K93" s="23">
        <v>3.5322305E7</v>
      </c>
      <c r="L93" s="24">
        <v>4238677.0</v>
      </c>
      <c r="M93" s="25"/>
      <c r="N93" s="25"/>
      <c r="O93" s="24">
        <f t="shared" si="2"/>
        <v>578001.345</v>
      </c>
      <c r="P93" s="24">
        <f t="shared" si="3"/>
        <v>37955421.66</v>
      </c>
      <c r="Q93" s="26"/>
      <c r="R93" s="27"/>
      <c r="S93" s="28">
        <v>2.00250037179624E15</v>
      </c>
    </row>
    <row r="94">
      <c r="A94" s="34" t="s">
        <v>66</v>
      </c>
      <c r="B94" s="38" t="s">
        <v>67</v>
      </c>
      <c r="C94" s="25"/>
      <c r="D94" s="27"/>
      <c r="E94" s="36" t="s">
        <v>79</v>
      </c>
      <c r="F94" s="27"/>
      <c r="G94" s="25"/>
      <c r="H94" s="25"/>
      <c r="I94" s="23">
        <f t="shared" si="5"/>
        <v>3337000</v>
      </c>
      <c r="J94" s="23">
        <v>3006306.0</v>
      </c>
      <c r="K94" s="23">
        <v>2755781.0</v>
      </c>
      <c r="L94" s="24">
        <v>330694.0</v>
      </c>
      <c r="M94" s="25"/>
      <c r="N94" s="25"/>
      <c r="O94" s="24">
        <f t="shared" si="2"/>
        <v>45094.59</v>
      </c>
      <c r="P94" s="24">
        <f t="shared" si="3"/>
        <v>2961211.41</v>
      </c>
      <c r="Q94" s="26"/>
      <c r="R94" s="27"/>
      <c r="S94" s="28">
        <v>2.00250037694732E15</v>
      </c>
    </row>
    <row r="95">
      <c r="A95" s="34" t="s">
        <v>66</v>
      </c>
      <c r="B95" s="38" t="s">
        <v>67</v>
      </c>
      <c r="C95" s="25"/>
      <c r="D95" s="27"/>
      <c r="E95" s="36" t="s">
        <v>80</v>
      </c>
      <c r="F95" s="27"/>
      <c r="G95" s="25"/>
      <c r="H95" s="25"/>
      <c r="I95" s="23">
        <f t="shared" si="5"/>
        <v>11550000</v>
      </c>
      <c r="J95" s="23">
        <v>1.0405405E7</v>
      </c>
      <c r="K95" s="23">
        <v>9538287.0</v>
      </c>
      <c r="L95" s="24">
        <v>1144595.0</v>
      </c>
      <c r="M95" s="25"/>
      <c r="N95" s="25"/>
      <c r="O95" s="24">
        <f t="shared" si="2"/>
        <v>156081.075</v>
      </c>
      <c r="P95" s="24">
        <f t="shared" si="3"/>
        <v>10249323.93</v>
      </c>
      <c r="Q95" s="26"/>
      <c r="R95" s="27"/>
      <c r="S95" s="28">
        <v>2.00250037685585E15</v>
      </c>
    </row>
    <row r="96">
      <c r="A96" s="34" t="s">
        <v>66</v>
      </c>
      <c r="B96" s="38" t="s">
        <v>67</v>
      </c>
      <c r="C96" s="25"/>
      <c r="D96" s="27"/>
      <c r="E96" s="36" t="s">
        <v>80</v>
      </c>
      <c r="F96" s="27"/>
      <c r="G96" s="25"/>
      <c r="H96" s="25"/>
      <c r="I96" s="23">
        <f t="shared" si="5"/>
        <v>2135228</v>
      </c>
      <c r="J96" s="23">
        <v>1923629.0</v>
      </c>
      <c r="K96" s="23">
        <v>1763326.0</v>
      </c>
      <c r="L96" s="24">
        <v>211599.0</v>
      </c>
      <c r="M96" s="25"/>
      <c r="N96" s="25"/>
      <c r="O96" s="24">
        <f t="shared" si="2"/>
        <v>28854.435</v>
      </c>
      <c r="P96" s="24">
        <f t="shared" si="3"/>
        <v>1894774.565</v>
      </c>
      <c r="Q96" s="26"/>
      <c r="R96" s="27"/>
      <c r="S96" s="28">
        <v>2.00250037636379E15</v>
      </c>
    </row>
    <row r="97">
      <c r="A97" s="34" t="s">
        <v>81</v>
      </c>
      <c r="B97" s="38" t="s">
        <v>82</v>
      </c>
      <c r="C97" s="25"/>
      <c r="D97" s="27"/>
      <c r="E97" s="33">
        <v>45727.0</v>
      </c>
      <c r="F97" s="27"/>
      <c r="G97" s="25"/>
      <c r="H97" s="25"/>
      <c r="I97" s="23">
        <f t="shared" si="5"/>
        <v>4799667</v>
      </c>
      <c r="J97" s="23">
        <v>4285417.0</v>
      </c>
      <c r="K97" s="23">
        <v>4285417.0</v>
      </c>
      <c r="L97" s="24">
        <v>514250.0</v>
      </c>
      <c r="M97" s="25"/>
      <c r="N97" s="25"/>
      <c r="O97" s="24">
        <f t="shared" si="2"/>
        <v>64281.255</v>
      </c>
      <c r="P97" s="24">
        <f t="shared" si="3"/>
        <v>4221135.745</v>
      </c>
      <c r="Q97" s="26"/>
      <c r="R97" s="27"/>
      <c r="S97" s="28">
        <v>2.00250037953856E15</v>
      </c>
    </row>
    <row r="98">
      <c r="A98" s="34" t="s">
        <v>26</v>
      </c>
      <c r="B98" s="38" t="s">
        <v>27</v>
      </c>
      <c r="C98" s="25"/>
      <c r="D98" s="27"/>
      <c r="E98" s="36" t="s">
        <v>83</v>
      </c>
      <c r="F98" s="27"/>
      <c r="G98" s="25"/>
      <c r="H98" s="25"/>
      <c r="I98" s="23">
        <f t="shared" si="5"/>
        <v>136676924</v>
      </c>
      <c r="J98" s="23">
        <v>1.23132364E8</v>
      </c>
      <c r="K98" s="23">
        <v>1.12871334E8</v>
      </c>
      <c r="L98" s="24">
        <v>1.354456E7</v>
      </c>
      <c r="M98" s="25"/>
      <c r="N98" s="25"/>
      <c r="O98" s="24">
        <f t="shared" si="2"/>
        <v>1846985.46</v>
      </c>
      <c r="P98" s="24">
        <f t="shared" si="3"/>
        <v>121285378.5</v>
      </c>
      <c r="Q98" s="26"/>
      <c r="R98" s="27"/>
      <c r="S98" s="28">
        <v>2.00250038719875E15</v>
      </c>
    </row>
    <row r="99">
      <c r="A99" s="34" t="s">
        <v>26</v>
      </c>
      <c r="B99" s="38" t="s">
        <v>27</v>
      </c>
      <c r="C99" s="25"/>
      <c r="D99" s="27"/>
      <c r="E99" s="36" t="s">
        <v>84</v>
      </c>
      <c r="F99" s="27"/>
      <c r="G99" s="25"/>
      <c r="H99" s="25"/>
      <c r="I99" s="23">
        <f t="shared" si="5"/>
        <v>2564100</v>
      </c>
      <c r="J99" s="23">
        <v>2310000.0</v>
      </c>
      <c r="K99" s="23">
        <v>2117500.0</v>
      </c>
      <c r="L99" s="24">
        <v>254100.0</v>
      </c>
      <c r="M99" s="25"/>
      <c r="N99" s="25"/>
      <c r="O99" s="24">
        <f t="shared" si="2"/>
        <v>34650</v>
      </c>
      <c r="P99" s="24">
        <f t="shared" si="3"/>
        <v>2275350</v>
      </c>
      <c r="Q99" s="26"/>
      <c r="R99" s="27"/>
      <c r="S99" s="28">
        <v>2.00250038719039E15</v>
      </c>
    </row>
    <row r="100">
      <c r="A100" s="34" t="s">
        <v>26</v>
      </c>
      <c r="B100" s="38" t="s">
        <v>27</v>
      </c>
      <c r="C100" s="25"/>
      <c r="D100" s="27"/>
      <c r="E100" s="36" t="s">
        <v>84</v>
      </c>
      <c r="F100" s="27"/>
      <c r="G100" s="25"/>
      <c r="H100" s="25"/>
      <c r="I100" s="23">
        <f t="shared" si="5"/>
        <v>1998000</v>
      </c>
      <c r="J100" s="23">
        <v>1800000.0</v>
      </c>
      <c r="K100" s="23">
        <v>1650000.0</v>
      </c>
      <c r="L100" s="24">
        <v>198000.0</v>
      </c>
      <c r="M100" s="25"/>
      <c r="N100" s="25"/>
      <c r="O100" s="24">
        <f t="shared" si="2"/>
        <v>27000</v>
      </c>
      <c r="P100" s="24">
        <f t="shared" si="3"/>
        <v>1773000</v>
      </c>
      <c r="Q100" s="26"/>
      <c r="R100" s="27"/>
      <c r="S100" s="28">
        <v>3.00250038738978E15</v>
      </c>
    </row>
    <row r="101">
      <c r="A101" s="34" t="s">
        <v>26</v>
      </c>
      <c r="B101" s="38" t="s">
        <v>27</v>
      </c>
      <c r="C101" s="25"/>
      <c r="D101" s="27"/>
      <c r="E101" s="36" t="s">
        <v>84</v>
      </c>
      <c r="F101" s="27"/>
      <c r="G101" s="25"/>
      <c r="H101" s="25"/>
      <c r="I101" s="23">
        <f t="shared" si="5"/>
        <v>467754</v>
      </c>
      <c r="J101" s="23">
        <v>421400.0</v>
      </c>
      <c r="K101" s="23">
        <v>386283.0</v>
      </c>
      <c r="L101" s="24">
        <v>46354.0</v>
      </c>
      <c r="M101" s="25"/>
      <c r="N101" s="25"/>
      <c r="O101" s="24">
        <f t="shared" si="2"/>
        <v>6321</v>
      </c>
      <c r="P101" s="24">
        <f t="shared" si="3"/>
        <v>415079</v>
      </c>
      <c r="Q101" s="26"/>
      <c r="R101" s="27"/>
      <c r="S101" s="28">
        <v>2.01250038739669E15</v>
      </c>
    </row>
    <row r="102">
      <c r="A102" s="34" t="s">
        <v>23</v>
      </c>
      <c r="B102" s="38" t="s">
        <v>24</v>
      </c>
      <c r="C102" s="25"/>
      <c r="D102" s="27"/>
      <c r="E102" s="36" t="s">
        <v>85</v>
      </c>
      <c r="F102" s="27"/>
      <c r="G102" s="25"/>
      <c r="H102" s="25"/>
      <c r="I102" s="23">
        <f t="shared" si="5"/>
        <v>1675545</v>
      </c>
      <c r="J102" s="23">
        <v>1509500.0</v>
      </c>
      <c r="K102" s="23">
        <v>1383708.0</v>
      </c>
      <c r="L102" s="24">
        <v>166045.0</v>
      </c>
      <c r="M102" s="25"/>
      <c r="N102" s="25"/>
      <c r="O102" s="24">
        <f t="shared" si="2"/>
        <v>22642.5</v>
      </c>
      <c r="P102" s="24">
        <f t="shared" si="3"/>
        <v>1486857.5</v>
      </c>
      <c r="Q102" s="26"/>
      <c r="R102" s="27"/>
      <c r="S102" s="28">
        <v>3.01250038882353E15</v>
      </c>
    </row>
    <row r="103">
      <c r="A103" s="34" t="s">
        <v>86</v>
      </c>
      <c r="B103" s="38" t="s">
        <v>87</v>
      </c>
      <c r="C103" s="25"/>
      <c r="D103" s="27"/>
      <c r="E103" s="36" t="s">
        <v>88</v>
      </c>
      <c r="F103" s="27"/>
      <c r="G103" s="25"/>
      <c r="H103" s="25"/>
      <c r="I103" s="23">
        <f t="shared" si="5"/>
        <v>3885000</v>
      </c>
      <c r="J103" s="23">
        <v>3500000.0</v>
      </c>
      <c r="K103" s="23">
        <v>3208333.0</v>
      </c>
      <c r="L103" s="24">
        <v>385000.0</v>
      </c>
      <c r="M103" s="25"/>
      <c r="N103" s="25"/>
      <c r="O103" s="24">
        <f t="shared" si="2"/>
        <v>52500</v>
      </c>
      <c r="P103" s="24">
        <f t="shared" si="3"/>
        <v>3447500</v>
      </c>
      <c r="Q103" s="26"/>
      <c r="R103" s="27"/>
      <c r="S103" s="28">
        <v>4.00250038881948E15</v>
      </c>
    </row>
    <row r="104">
      <c r="A104" s="34" t="s">
        <v>86</v>
      </c>
      <c r="B104" s="38" t="s">
        <v>87</v>
      </c>
      <c r="C104" s="25"/>
      <c r="D104" s="27"/>
      <c r="E104" s="36" t="s">
        <v>88</v>
      </c>
      <c r="F104" s="27"/>
      <c r="G104" s="25"/>
      <c r="H104" s="25"/>
      <c r="I104" s="23">
        <f t="shared" si="5"/>
        <v>12654000</v>
      </c>
      <c r="J104" s="23">
        <v>1.14E7</v>
      </c>
      <c r="K104" s="23">
        <v>1.045E7</v>
      </c>
      <c r="L104" s="24">
        <v>1254000.0</v>
      </c>
      <c r="M104" s="25"/>
      <c r="N104" s="25"/>
      <c r="O104" s="24">
        <f t="shared" si="2"/>
        <v>171000</v>
      </c>
      <c r="P104" s="24">
        <f t="shared" si="3"/>
        <v>11229000</v>
      </c>
      <c r="Q104" s="26"/>
      <c r="R104" s="27"/>
      <c r="S104" s="28">
        <v>2.00250038881677E15</v>
      </c>
    </row>
    <row r="105">
      <c r="A105" s="34" t="s">
        <v>89</v>
      </c>
      <c r="B105" s="38" t="s">
        <v>90</v>
      </c>
      <c r="C105" s="25"/>
      <c r="D105" s="27"/>
      <c r="E105" s="36" t="s">
        <v>88</v>
      </c>
      <c r="F105" s="27"/>
      <c r="G105" s="25"/>
      <c r="H105" s="25"/>
      <c r="I105" s="23">
        <f t="shared" si="5"/>
        <v>789954</v>
      </c>
      <c r="J105" s="23">
        <v>711670.0</v>
      </c>
      <c r="K105" s="23">
        <v>652363.0</v>
      </c>
      <c r="L105" s="24">
        <v>78284.0</v>
      </c>
      <c r="M105" s="25"/>
      <c r="N105" s="25"/>
      <c r="O105" s="24">
        <f t="shared" si="2"/>
        <v>10675.05</v>
      </c>
      <c r="P105" s="24">
        <f t="shared" si="3"/>
        <v>700994.95</v>
      </c>
      <c r="Q105" s="26"/>
      <c r="R105" s="27"/>
      <c r="S105" s="28">
        <v>2.00250038982304E15</v>
      </c>
    </row>
    <row r="106">
      <c r="A106" s="34" t="s">
        <v>26</v>
      </c>
      <c r="B106" s="38" t="s">
        <v>27</v>
      </c>
      <c r="C106" s="25"/>
      <c r="D106" s="27"/>
      <c r="E106" s="36" t="s">
        <v>88</v>
      </c>
      <c r="F106" s="27"/>
      <c r="G106" s="25"/>
      <c r="H106" s="25"/>
      <c r="I106" s="23">
        <f t="shared" si="5"/>
        <v>5607720</v>
      </c>
      <c r="J106" s="23">
        <v>5052000.0</v>
      </c>
      <c r="K106" s="23">
        <v>4631000.0</v>
      </c>
      <c r="L106" s="24">
        <v>555720.0</v>
      </c>
      <c r="M106" s="25"/>
      <c r="N106" s="25"/>
      <c r="O106" s="24">
        <f t="shared" si="2"/>
        <v>75780</v>
      </c>
      <c r="P106" s="24">
        <f t="shared" si="3"/>
        <v>4976220</v>
      </c>
      <c r="Q106" s="26"/>
      <c r="R106" s="27"/>
      <c r="S106" s="28">
        <v>4.00250038981553E15</v>
      </c>
    </row>
    <row r="107">
      <c r="A107" s="34" t="s">
        <v>26</v>
      </c>
      <c r="B107" s="38" t="s">
        <v>27</v>
      </c>
      <c r="C107" s="25"/>
      <c r="D107" s="27"/>
      <c r="E107" s="36" t="s">
        <v>91</v>
      </c>
      <c r="F107" s="27"/>
      <c r="G107" s="25"/>
      <c r="H107" s="25"/>
      <c r="I107" s="23">
        <f t="shared" si="5"/>
        <v>1576200</v>
      </c>
      <c r="J107" s="23">
        <v>1420000.0</v>
      </c>
      <c r="K107" s="23">
        <v>1301667.0</v>
      </c>
      <c r="L107" s="24">
        <v>156200.0</v>
      </c>
      <c r="M107" s="25"/>
      <c r="N107" s="25"/>
      <c r="O107" s="24">
        <f t="shared" si="2"/>
        <v>21300</v>
      </c>
      <c r="P107" s="24">
        <f t="shared" si="3"/>
        <v>1398700</v>
      </c>
      <c r="Q107" s="26"/>
      <c r="R107" s="27"/>
      <c r="S107" s="28">
        <v>2.01250039632272E15</v>
      </c>
    </row>
    <row r="108">
      <c r="A108" s="34" t="s">
        <v>26</v>
      </c>
      <c r="B108" s="24">
        <v>1.368901403E12</v>
      </c>
      <c r="C108" s="25"/>
      <c r="D108" s="27"/>
      <c r="E108" s="36" t="s">
        <v>91</v>
      </c>
      <c r="F108" s="27"/>
      <c r="G108" s="25"/>
      <c r="H108" s="25"/>
      <c r="I108" s="23">
        <f t="shared" si="5"/>
        <v>400000</v>
      </c>
      <c r="J108" s="24">
        <v>400000.0</v>
      </c>
      <c r="K108" s="24">
        <v>366667.0</v>
      </c>
      <c r="L108" s="25"/>
      <c r="M108" s="24">
        <v>44000.0</v>
      </c>
      <c r="N108" s="25"/>
      <c r="O108" s="24">
        <f t="shared" si="2"/>
        <v>6000</v>
      </c>
      <c r="P108" s="24">
        <f t="shared" si="3"/>
        <v>438000</v>
      </c>
      <c r="Q108" s="26"/>
      <c r="R108" s="27"/>
      <c r="S108" s="39"/>
    </row>
    <row r="109">
      <c r="A109" s="34" t="s">
        <v>89</v>
      </c>
      <c r="B109" s="24">
        <v>1.3611140073E13</v>
      </c>
      <c r="C109" s="25"/>
      <c r="D109" s="27"/>
      <c r="E109" s="36" t="s">
        <v>91</v>
      </c>
      <c r="F109" s="27"/>
      <c r="G109" s="25"/>
      <c r="H109" s="25"/>
      <c r="I109" s="23">
        <f t="shared" si="5"/>
        <v>452258</v>
      </c>
      <c r="J109" s="24">
        <v>407440.0</v>
      </c>
      <c r="K109" s="24">
        <v>373486.0</v>
      </c>
      <c r="L109" s="24">
        <v>44818.0</v>
      </c>
      <c r="M109" s="25"/>
      <c r="N109" s="25"/>
      <c r="O109" s="24">
        <f t="shared" si="2"/>
        <v>6111.6</v>
      </c>
      <c r="P109" s="24">
        <f t="shared" si="3"/>
        <v>401328.4</v>
      </c>
      <c r="Q109" s="26"/>
      <c r="R109" s="27"/>
      <c r="S109" s="39"/>
    </row>
    <row r="110">
      <c r="A110" s="34" t="s">
        <v>92</v>
      </c>
      <c r="B110" s="24">
        <v>1.804434067E12</v>
      </c>
      <c r="C110" s="25"/>
      <c r="D110" s="27"/>
      <c r="E110" s="36" t="s">
        <v>93</v>
      </c>
      <c r="F110" s="27"/>
      <c r="G110" s="25"/>
      <c r="H110" s="25"/>
      <c r="I110" s="23">
        <f t="shared" si="5"/>
        <v>550500</v>
      </c>
      <c r="J110" s="24">
        <v>550500.0</v>
      </c>
      <c r="K110" s="24">
        <v>504625.0</v>
      </c>
      <c r="L110" s="25"/>
      <c r="M110" s="24">
        <v>60555.0</v>
      </c>
      <c r="N110" s="25"/>
      <c r="O110" s="24">
        <f t="shared" si="2"/>
        <v>8257.5</v>
      </c>
      <c r="P110" s="24">
        <f t="shared" si="3"/>
        <v>602797.5</v>
      </c>
      <c r="Q110" s="26"/>
      <c r="R110" s="27"/>
      <c r="S110" s="39"/>
    </row>
    <row r="111">
      <c r="A111" s="34" t="s">
        <v>23</v>
      </c>
      <c r="B111" s="38" t="s">
        <v>27</v>
      </c>
      <c r="C111" s="25"/>
      <c r="D111" s="27"/>
      <c r="E111" s="40">
        <v>45728.0</v>
      </c>
      <c r="F111" s="27"/>
      <c r="G111" s="25"/>
      <c r="H111" s="25"/>
      <c r="I111" s="23">
        <v>1.2128378E7</v>
      </c>
      <c r="J111" s="24">
        <f>I111/1.11</f>
        <v>10926466.67</v>
      </c>
      <c r="K111" s="24">
        <f>J111*11/12</f>
        <v>10015927.78</v>
      </c>
      <c r="L111" s="24">
        <f>J111*11%</f>
        <v>1201911.333</v>
      </c>
      <c r="M111" s="25"/>
      <c r="N111" s="25"/>
      <c r="O111" s="24">
        <f t="shared" si="2"/>
        <v>163897</v>
      </c>
      <c r="P111" s="24">
        <f t="shared" si="3"/>
        <v>10762569.67</v>
      </c>
      <c r="Q111" s="26"/>
      <c r="R111" s="27"/>
      <c r="S111" s="28">
        <v>2.01250039632272E15</v>
      </c>
    </row>
    <row r="112">
      <c r="A112" s="34" t="s">
        <v>69</v>
      </c>
      <c r="B112" s="24">
        <v>1.368901403E12</v>
      </c>
      <c r="C112" s="25"/>
      <c r="D112" s="27"/>
      <c r="E112" s="37">
        <v>46022.0</v>
      </c>
      <c r="F112" s="41" t="s">
        <v>94</v>
      </c>
      <c r="G112" s="25"/>
      <c r="H112" s="25"/>
      <c r="I112" s="23">
        <v>5232612.0</v>
      </c>
      <c r="J112" s="24">
        <v>4671975.0</v>
      </c>
      <c r="K112" s="24">
        <v>4671975.0</v>
      </c>
      <c r="L112" s="24">
        <v>560637.0</v>
      </c>
      <c r="M112" s="25"/>
      <c r="N112" s="25"/>
      <c r="O112" s="24">
        <f t="shared" si="2"/>
        <v>70079.625</v>
      </c>
      <c r="P112" s="24">
        <f t="shared" si="3"/>
        <v>4601895.375</v>
      </c>
      <c r="Q112" s="26"/>
      <c r="R112" s="27"/>
      <c r="S112" s="39"/>
    </row>
    <row r="113">
      <c r="A113" s="34" t="s">
        <v>69</v>
      </c>
      <c r="B113" s="24">
        <v>1.368901403E12</v>
      </c>
      <c r="C113" s="25"/>
      <c r="D113" s="27"/>
      <c r="E113" s="37">
        <v>46022.0</v>
      </c>
      <c r="F113" s="41" t="s">
        <v>95</v>
      </c>
      <c r="G113" s="25"/>
      <c r="H113" s="25"/>
      <c r="I113" s="24">
        <v>6725693.0</v>
      </c>
      <c r="J113" s="24">
        <v>6005083.0</v>
      </c>
      <c r="K113" s="24">
        <v>6005083.0</v>
      </c>
      <c r="L113" s="24">
        <v>720610.0</v>
      </c>
      <c r="M113" s="25"/>
      <c r="N113" s="25"/>
      <c r="O113" s="24">
        <f t="shared" si="2"/>
        <v>90076.245</v>
      </c>
      <c r="P113" s="24">
        <f t="shared" si="3"/>
        <v>5915006.755</v>
      </c>
      <c r="Q113" s="26"/>
      <c r="R113" s="27"/>
      <c r="S113" s="39"/>
    </row>
    <row r="114">
      <c r="A114" s="34" t="s">
        <v>96</v>
      </c>
      <c r="B114" s="24">
        <v>1.416874001E12</v>
      </c>
      <c r="C114" s="25"/>
      <c r="D114" s="27"/>
      <c r="E114" s="37">
        <v>46013.0</v>
      </c>
      <c r="F114" s="42">
        <v>3.0025004276349E15</v>
      </c>
      <c r="G114" s="25"/>
      <c r="H114" s="25"/>
      <c r="I114" s="24">
        <v>7.8E8</v>
      </c>
      <c r="J114" s="24">
        <v>7.02702708E8</v>
      </c>
      <c r="K114" s="24">
        <v>6.44144144E8</v>
      </c>
      <c r="L114" s="24">
        <v>7.7297292E7</v>
      </c>
      <c r="M114" s="25"/>
      <c r="N114" s="25"/>
      <c r="O114" s="24">
        <f t="shared" si="2"/>
        <v>10540540.62</v>
      </c>
      <c r="P114" s="24">
        <f t="shared" si="3"/>
        <v>692162167.4</v>
      </c>
      <c r="Q114" s="26"/>
      <c r="R114" s="27"/>
      <c r="S114" s="39"/>
    </row>
    <row r="115">
      <c r="A115" s="34" t="s">
        <v>26</v>
      </c>
      <c r="B115" s="24">
        <v>1.368901403E12</v>
      </c>
      <c r="C115" s="25"/>
      <c r="D115" s="27"/>
      <c r="E115" s="37">
        <v>46007.0</v>
      </c>
      <c r="F115" s="42">
        <v>2.00250041864735E15</v>
      </c>
      <c r="G115" s="25"/>
      <c r="H115" s="25"/>
      <c r="I115" s="24">
        <v>1.1312565E8</v>
      </c>
      <c r="J115" s="24">
        <v>1.01915E8</v>
      </c>
      <c r="K115" s="24">
        <v>9.3422083E7</v>
      </c>
      <c r="L115" s="24">
        <v>1.121065E7</v>
      </c>
      <c r="M115" s="25"/>
      <c r="N115" s="25"/>
      <c r="O115" s="24">
        <f t="shared" si="2"/>
        <v>1528725</v>
      </c>
      <c r="P115" s="24">
        <f t="shared" si="3"/>
        <v>100386275</v>
      </c>
      <c r="Q115" s="26"/>
      <c r="R115" s="27"/>
      <c r="S115" s="39"/>
    </row>
    <row r="116">
      <c r="A116" s="34" t="s">
        <v>26</v>
      </c>
      <c r="B116" s="24">
        <v>1.368901403E12</v>
      </c>
      <c r="C116" s="25"/>
      <c r="D116" s="27"/>
      <c r="E116" s="37">
        <v>45996.0</v>
      </c>
      <c r="F116" s="42">
        <v>2.00250039993584E15</v>
      </c>
      <c r="G116" s="25"/>
      <c r="H116" s="25"/>
      <c r="I116" s="24">
        <v>4417800.0</v>
      </c>
      <c r="J116" s="24">
        <v>3980000.0</v>
      </c>
      <c r="K116" s="24">
        <v>3648333.0</v>
      </c>
      <c r="L116" s="24">
        <v>437800.0</v>
      </c>
      <c r="M116" s="25"/>
      <c r="N116" s="25"/>
      <c r="O116" s="24">
        <f t="shared" si="2"/>
        <v>59700</v>
      </c>
      <c r="P116" s="24">
        <f t="shared" si="3"/>
        <v>3920300</v>
      </c>
      <c r="Q116" s="26"/>
      <c r="R116" s="27"/>
      <c r="S116" s="39"/>
    </row>
    <row r="117">
      <c r="A117" s="34" t="s">
        <v>26</v>
      </c>
      <c r="B117" s="24">
        <v>1.368901403E12</v>
      </c>
      <c r="C117" s="25"/>
      <c r="D117" s="27"/>
      <c r="E117" s="37">
        <v>46007.0</v>
      </c>
      <c r="F117" s="42">
        <v>2.00250041863799E15</v>
      </c>
      <c r="G117" s="25"/>
      <c r="H117" s="25"/>
      <c r="I117" s="24">
        <v>1565100.0</v>
      </c>
      <c r="J117" s="24">
        <v>1410000.0</v>
      </c>
      <c r="K117" s="24">
        <v>1292500.0</v>
      </c>
      <c r="L117" s="24">
        <v>155100.0</v>
      </c>
      <c r="M117" s="25"/>
      <c r="N117" s="25"/>
      <c r="O117" s="24">
        <f t="shared" si="2"/>
        <v>21150</v>
      </c>
      <c r="P117" s="24">
        <f t="shared" si="3"/>
        <v>1388850</v>
      </c>
      <c r="Q117" s="26"/>
      <c r="R117" s="27"/>
      <c r="S117" s="39"/>
    </row>
    <row r="118">
      <c r="A118" s="34" t="s">
        <v>26</v>
      </c>
      <c r="B118" s="24">
        <v>1.368901403E12</v>
      </c>
      <c r="C118" s="25"/>
      <c r="D118" s="27"/>
      <c r="E118" s="37">
        <v>46006.0</v>
      </c>
      <c r="F118" s="42">
        <v>2.00250041465187E15</v>
      </c>
      <c r="G118" s="25"/>
      <c r="H118" s="25"/>
      <c r="I118" s="24">
        <v>8310570.0</v>
      </c>
      <c r="J118" s="24">
        <v>7487000.0</v>
      </c>
      <c r="K118" s="24">
        <v>6863083.0</v>
      </c>
      <c r="L118" s="24">
        <v>823570.0</v>
      </c>
      <c r="M118" s="25"/>
      <c r="N118" s="25"/>
      <c r="O118" s="24">
        <f t="shared" si="2"/>
        <v>112305</v>
      </c>
      <c r="P118" s="24">
        <f t="shared" si="3"/>
        <v>7374695</v>
      </c>
      <c r="Q118" s="26"/>
      <c r="R118" s="27"/>
      <c r="S118" s="39"/>
    </row>
    <row r="119">
      <c r="A119" s="34" t="s">
        <v>26</v>
      </c>
      <c r="B119" s="24">
        <v>1.368901403E12</v>
      </c>
      <c r="C119" s="25"/>
      <c r="D119" s="27"/>
      <c r="E119" s="37">
        <v>46001.0</v>
      </c>
      <c r="F119" s="42">
        <v>2.00250040604697E15</v>
      </c>
      <c r="G119" s="25"/>
      <c r="H119" s="25"/>
      <c r="I119" s="24">
        <v>1.271949E7</v>
      </c>
      <c r="J119" s="24">
        <v>1.1459E7</v>
      </c>
      <c r="K119" s="24">
        <v>1.0504083E7</v>
      </c>
      <c r="L119" s="24">
        <v>1260490.0</v>
      </c>
      <c r="M119" s="25"/>
      <c r="N119" s="25"/>
      <c r="O119" s="24">
        <f t="shared" si="2"/>
        <v>171885</v>
      </c>
      <c r="P119" s="24">
        <f t="shared" si="3"/>
        <v>11287115</v>
      </c>
      <c r="Q119" s="26"/>
      <c r="R119" s="27"/>
      <c r="S119" s="39"/>
    </row>
    <row r="120">
      <c r="A120" s="34" t="s">
        <v>97</v>
      </c>
      <c r="B120" s="24">
        <v>1.408988027E12</v>
      </c>
      <c r="C120" s="25"/>
      <c r="D120" s="27"/>
      <c r="E120" s="37">
        <v>46013.0</v>
      </c>
      <c r="F120" s="42">
        <v>2.01250042727593E15</v>
      </c>
      <c r="G120" s="25"/>
      <c r="H120" s="25"/>
      <c r="I120" s="24">
        <v>4.3401E7</v>
      </c>
      <c r="J120" s="24">
        <v>3.91E7</v>
      </c>
      <c r="K120" s="24">
        <v>3.5841667E7</v>
      </c>
      <c r="L120" s="24">
        <v>4301000.0</v>
      </c>
      <c r="M120" s="25"/>
      <c r="N120" s="25"/>
      <c r="O120" s="24">
        <f t="shared" si="2"/>
        <v>586500</v>
      </c>
      <c r="P120" s="24">
        <f t="shared" si="3"/>
        <v>38513500</v>
      </c>
      <c r="Q120" s="26"/>
      <c r="R120" s="27"/>
      <c r="S120" s="39"/>
    </row>
    <row r="121">
      <c r="A121" s="34" t="s">
        <v>98</v>
      </c>
      <c r="B121" s="24">
        <v>9.63613799419E14</v>
      </c>
      <c r="C121" s="25"/>
      <c r="D121" s="27"/>
      <c r="E121" s="37">
        <v>46014.0</v>
      </c>
      <c r="F121" s="42">
        <v>2.00250043251138E15</v>
      </c>
      <c r="G121" s="25"/>
      <c r="H121" s="25"/>
      <c r="I121" s="24">
        <v>6.5023245E7</v>
      </c>
      <c r="J121" s="24">
        <v>5.85795E7</v>
      </c>
      <c r="K121" s="24">
        <v>5.3697875E7</v>
      </c>
      <c r="L121" s="24">
        <v>6443745.0</v>
      </c>
      <c r="M121" s="25"/>
      <c r="N121" s="25"/>
      <c r="O121" s="24">
        <f t="shared" si="2"/>
        <v>878692.5</v>
      </c>
      <c r="P121" s="24">
        <f t="shared" si="3"/>
        <v>57700807.5</v>
      </c>
      <c r="Q121" s="26"/>
      <c r="R121" s="27"/>
      <c r="S121" s="39"/>
    </row>
    <row r="122">
      <c r="A122" s="34" t="s">
        <v>26</v>
      </c>
      <c r="B122" s="24">
        <v>1.368901403E12</v>
      </c>
      <c r="C122" s="25"/>
      <c r="D122" s="27"/>
      <c r="E122" s="37">
        <v>45996.0</v>
      </c>
      <c r="F122" s="42">
        <v>2.00250039958843E15</v>
      </c>
      <c r="G122" s="25"/>
      <c r="H122" s="25"/>
      <c r="I122" s="24">
        <v>7152840.0</v>
      </c>
      <c r="J122" s="24">
        <v>6444000.0</v>
      </c>
      <c r="K122" s="24">
        <v>5907000.0</v>
      </c>
      <c r="L122" s="24">
        <v>708840.0</v>
      </c>
      <c r="M122" s="25"/>
      <c r="N122" s="25"/>
      <c r="O122" s="24">
        <f t="shared" si="2"/>
        <v>96660</v>
      </c>
      <c r="P122" s="24">
        <f t="shared" si="3"/>
        <v>6347340</v>
      </c>
      <c r="Q122" s="26"/>
      <c r="R122" s="27"/>
      <c r="S122" s="39"/>
    </row>
    <row r="123">
      <c r="A123" s="34" t="s">
        <v>26</v>
      </c>
      <c r="B123" s="24">
        <v>1.368901403E12</v>
      </c>
      <c r="C123" s="25"/>
      <c r="D123" s="27"/>
      <c r="E123" s="37">
        <v>45996.0</v>
      </c>
      <c r="F123" s="42">
        <v>2.00250039996515E15</v>
      </c>
      <c r="G123" s="25"/>
      <c r="H123" s="25"/>
      <c r="I123" s="24">
        <v>9.26295E7</v>
      </c>
      <c r="J123" s="24">
        <v>8.345E7</v>
      </c>
      <c r="K123" s="24">
        <v>7.6495833E7</v>
      </c>
      <c r="L123" s="24">
        <v>9179500.0</v>
      </c>
      <c r="M123" s="25"/>
      <c r="N123" s="25"/>
      <c r="O123" s="24">
        <f t="shared" si="2"/>
        <v>1251750</v>
      </c>
      <c r="P123" s="24">
        <f t="shared" si="3"/>
        <v>82198250</v>
      </c>
      <c r="Q123" s="26"/>
      <c r="R123" s="27"/>
      <c r="S123" s="39"/>
    </row>
    <row r="124">
      <c r="A124" s="34" t="s">
        <v>26</v>
      </c>
      <c r="B124" s="24">
        <v>1.368901403E12</v>
      </c>
      <c r="C124" s="25"/>
      <c r="D124" s="27"/>
      <c r="E124" s="37">
        <v>46007.0</v>
      </c>
      <c r="F124" s="42">
        <v>2.00250041696952E15</v>
      </c>
      <c r="G124" s="25"/>
      <c r="H124" s="25"/>
      <c r="I124" s="24">
        <v>7029630.0</v>
      </c>
      <c r="J124" s="24">
        <v>6333000.0</v>
      </c>
      <c r="K124" s="24">
        <v>5805250.0</v>
      </c>
      <c r="L124" s="24">
        <v>696630.0</v>
      </c>
      <c r="M124" s="25"/>
      <c r="N124" s="25"/>
      <c r="O124" s="24">
        <f t="shared" si="2"/>
        <v>94995</v>
      </c>
      <c r="P124" s="24">
        <f t="shared" si="3"/>
        <v>6238005</v>
      </c>
      <c r="Q124" s="26"/>
      <c r="R124" s="27"/>
      <c r="S124" s="39"/>
    </row>
    <row r="125">
      <c r="A125" s="34" t="s">
        <v>26</v>
      </c>
      <c r="B125" s="24">
        <v>1.368901403E12</v>
      </c>
      <c r="C125" s="25"/>
      <c r="D125" s="27"/>
      <c r="E125" s="37">
        <v>46001.0</v>
      </c>
      <c r="F125" s="42">
        <v>2.00250040595107E15</v>
      </c>
      <c r="G125" s="25"/>
      <c r="H125" s="25"/>
      <c r="I125" s="24">
        <v>1.882338E7</v>
      </c>
      <c r="J125" s="24">
        <v>1.6958E7</v>
      </c>
      <c r="K125" s="24">
        <v>1.5544835E7</v>
      </c>
      <c r="L125" s="24">
        <v>1865380.0</v>
      </c>
      <c r="M125" s="25"/>
      <c r="N125" s="25"/>
      <c r="O125" s="24">
        <f t="shared" si="2"/>
        <v>254370</v>
      </c>
      <c r="P125" s="24">
        <f t="shared" si="3"/>
        <v>16703630</v>
      </c>
      <c r="Q125" s="26"/>
      <c r="R125" s="27"/>
      <c r="S125" s="39"/>
    </row>
    <row r="126">
      <c r="A126" s="34" t="s">
        <v>26</v>
      </c>
      <c r="B126" s="24">
        <v>1.368901403E12</v>
      </c>
      <c r="C126" s="25"/>
      <c r="D126" s="27"/>
      <c r="E126" s="37">
        <v>46003.0</v>
      </c>
      <c r="F126" s="42">
        <v>2.00250041176508E15</v>
      </c>
      <c r="G126" s="25"/>
      <c r="H126" s="25"/>
      <c r="I126" s="24">
        <v>1.221E7</v>
      </c>
      <c r="J126" s="24">
        <v>1.1E7</v>
      </c>
      <c r="K126" s="24">
        <v>1.0083333E7</v>
      </c>
      <c r="L126" s="24">
        <v>1210000.0</v>
      </c>
      <c r="M126" s="25"/>
      <c r="N126" s="25"/>
      <c r="O126" s="24">
        <f t="shared" si="2"/>
        <v>165000</v>
      </c>
      <c r="P126" s="24">
        <f t="shared" si="3"/>
        <v>10835000</v>
      </c>
      <c r="Q126" s="26"/>
      <c r="R126" s="27"/>
      <c r="S126" s="39"/>
    </row>
    <row r="127">
      <c r="A127" s="34" t="s">
        <v>26</v>
      </c>
      <c r="B127" s="24">
        <v>1.368901403E12</v>
      </c>
      <c r="C127" s="25"/>
      <c r="D127" s="27"/>
      <c r="E127" s="37">
        <v>46007.0</v>
      </c>
      <c r="F127" s="42">
        <v>2.00250041702661E15</v>
      </c>
      <c r="G127" s="25"/>
      <c r="H127" s="25"/>
      <c r="I127" s="24">
        <v>4222440.0</v>
      </c>
      <c r="J127" s="24">
        <v>3804000.0</v>
      </c>
      <c r="K127" s="24">
        <v>3486999.0</v>
      </c>
      <c r="L127" s="24">
        <v>418440.0</v>
      </c>
      <c r="M127" s="25"/>
      <c r="N127" s="25"/>
      <c r="O127" s="24">
        <f t="shared" si="2"/>
        <v>57060</v>
      </c>
      <c r="P127" s="24">
        <f t="shared" si="3"/>
        <v>3746940</v>
      </c>
      <c r="Q127" s="26"/>
      <c r="R127" s="27"/>
      <c r="S127" s="39"/>
    </row>
    <row r="128">
      <c r="A128" s="34" t="s">
        <v>26</v>
      </c>
      <c r="B128" s="24">
        <v>1.368901403E12</v>
      </c>
      <c r="C128" s="25"/>
      <c r="D128" s="27"/>
      <c r="E128" s="37">
        <v>45999.0</v>
      </c>
      <c r="F128" s="42">
        <v>2.00250040150467E15</v>
      </c>
      <c r="G128" s="25"/>
      <c r="H128" s="25"/>
      <c r="I128" s="24">
        <v>1.13886E7</v>
      </c>
      <c r="J128" s="24">
        <v>1.026E7</v>
      </c>
      <c r="K128" s="24">
        <v>9405000.0</v>
      </c>
      <c r="L128" s="24">
        <v>1128600.0</v>
      </c>
      <c r="M128" s="25"/>
      <c r="N128" s="25"/>
      <c r="O128" s="24">
        <f t="shared" si="2"/>
        <v>153900</v>
      </c>
      <c r="P128" s="24">
        <f t="shared" si="3"/>
        <v>10106100</v>
      </c>
      <c r="Q128" s="26"/>
      <c r="R128" s="27"/>
      <c r="S128" s="39"/>
    </row>
    <row r="129">
      <c r="A129" s="34" t="s">
        <v>26</v>
      </c>
      <c r="B129" s="24">
        <v>1.368901403E12</v>
      </c>
      <c r="C129" s="25"/>
      <c r="D129" s="27"/>
      <c r="E129" s="37">
        <v>46007.0</v>
      </c>
      <c r="F129" s="42">
        <v>2.00250041779553E15</v>
      </c>
      <c r="G129" s="25"/>
      <c r="H129" s="25"/>
      <c r="I129" s="24">
        <v>7971465.0</v>
      </c>
      <c r="J129" s="24">
        <v>7181500.0</v>
      </c>
      <c r="K129" s="24">
        <v>6583042.0</v>
      </c>
      <c r="L129" s="24">
        <v>789965.0</v>
      </c>
      <c r="M129" s="25"/>
      <c r="N129" s="25"/>
      <c r="O129" s="24">
        <f t="shared" si="2"/>
        <v>107722.5</v>
      </c>
      <c r="P129" s="24">
        <f t="shared" si="3"/>
        <v>7073777.5</v>
      </c>
      <c r="Q129" s="26"/>
      <c r="R129" s="27"/>
      <c r="S129" s="39"/>
    </row>
    <row r="130">
      <c r="A130" s="34" t="s">
        <v>26</v>
      </c>
      <c r="B130" s="24">
        <v>1.368901403E12</v>
      </c>
      <c r="C130" s="25"/>
      <c r="D130" s="27"/>
      <c r="E130" s="37">
        <v>46007.0</v>
      </c>
      <c r="F130" s="42">
        <v>2.00250041862787E15</v>
      </c>
      <c r="G130" s="25"/>
      <c r="H130" s="25"/>
      <c r="I130" s="24">
        <v>8021246.0</v>
      </c>
      <c r="J130" s="43">
        <v>7226348.0</v>
      </c>
      <c r="K130" s="24">
        <v>6624152.0</v>
      </c>
      <c r="L130" s="24">
        <v>794898.0</v>
      </c>
      <c r="M130" s="25"/>
      <c r="N130" s="25"/>
      <c r="O130" s="24">
        <f t="shared" si="2"/>
        <v>108395.22</v>
      </c>
      <c r="P130" s="24">
        <f t="shared" si="3"/>
        <v>7117952.78</v>
      </c>
      <c r="Q130" s="26"/>
      <c r="R130" s="27"/>
      <c r="S130" s="39"/>
    </row>
    <row r="131">
      <c r="A131" s="34" t="s">
        <v>26</v>
      </c>
      <c r="B131" s="24">
        <v>1.368901403E12</v>
      </c>
      <c r="C131" s="25"/>
      <c r="D131" s="27"/>
      <c r="E131" s="37">
        <v>45996.0</v>
      </c>
      <c r="F131" s="42">
        <v>2.01250039975549E15</v>
      </c>
      <c r="G131" s="25"/>
      <c r="H131" s="25"/>
      <c r="I131" s="24">
        <v>1.554E7</v>
      </c>
      <c r="J131" s="24">
        <v>1.4E7</v>
      </c>
      <c r="K131" s="24">
        <v>1.2833333E7</v>
      </c>
      <c r="L131" s="24">
        <v>1540000.0</v>
      </c>
      <c r="M131" s="25"/>
      <c r="N131" s="25"/>
      <c r="O131" s="24">
        <f t="shared" si="2"/>
        <v>210000</v>
      </c>
      <c r="P131" s="24">
        <f t="shared" si="3"/>
        <v>13790000</v>
      </c>
      <c r="Q131" s="26"/>
      <c r="R131" s="27"/>
      <c r="S131" s="39"/>
    </row>
    <row r="132">
      <c r="A132" s="34" t="s">
        <v>26</v>
      </c>
      <c r="B132" s="24">
        <v>1.368901403E12</v>
      </c>
      <c r="C132" s="25"/>
      <c r="D132" s="27"/>
      <c r="E132" s="37">
        <v>45999.0</v>
      </c>
      <c r="F132" s="42">
        <v>2.00250040155416E15</v>
      </c>
      <c r="G132" s="25"/>
      <c r="H132" s="25"/>
      <c r="I132" s="24">
        <v>3290673.0</v>
      </c>
      <c r="J132" s="24">
        <v>2964570.0</v>
      </c>
      <c r="K132" s="24">
        <v>2717524.0</v>
      </c>
      <c r="L132" s="24">
        <v>326103.0</v>
      </c>
      <c r="M132" s="25"/>
      <c r="N132" s="25"/>
      <c r="O132" s="24">
        <f t="shared" si="2"/>
        <v>44468.55</v>
      </c>
      <c r="P132" s="24">
        <f t="shared" si="3"/>
        <v>2920101.45</v>
      </c>
      <c r="Q132" s="26"/>
      <c r="R132" s="27"/>
      <c r="S132" s="39"/>
    </row>
    <row r="133">
      <c r="A133" s="34" t="s">
        <v>26</v>
      </c>
      <c r="B133" s="24">
        <v>1.368901403E12</v>
      </c>
      <c r="C133" s="25"/>
      <c r="D133" s="27"/>
      <c r="E133" s="37">
        <v>46007.0</v>
      </c>
      <c r="F133" s="42">
        <v>2.00250041864869E15</v>
      </c>
      <c r="G133" s="25"/>
      <c r="H133" s="25"/>
      <c r="I133" s="24">
        <v>2.72949E7</v>
      </c>
      <c r="J133" s="24">
        <v>2.459E7</v>
      </c>
      <c r="K133" s="24">
        <v>2.2540833E7</v>
      </c>
      <c r="L133" s="24">
        <v>2704900.0</v>
      </c>
      <c r="M133" s="25"/>
      <c r="N133" s="25"/>
      <c r="O133" s="24">
        <f t="shared" si="2"/>
        <v>368850</v>
      </c>
      <c r="P133" s="24">
        <f t="shared" si="3"/>
        <v>24221150</v>
      </c>
      <c r="Q133" s="26"/>
      <c r="R133" s="27"/>
      <c r="S133" s="39"/>
    </row>
    <row r="134">
      <c r="A134" s="34" t="s">
        <v>26</v>
      </c>
      <c r="B134" s="24">
        <v>1.368901403E12</v>
      </c>
      <c r="C134" s="25"/>
      <c r="D134" s="27"/>
      <c r="E134" s="37">
        <v>46003.0</v>
      </c>
      <c r="F134" s="42">
        <v>2.00250041104818E15</v>
      </c>
      <c r="G134" s="25"/>
      <c r="H134" s="25"/>
      <c r="I134" s="24">
        <v>3207900.0</v>
      </c>
      <c r="J134" s="24">
        <v>2890000.0</v>
      </c>
      <c r="K134" s="24">
        <v>2649167.0</v>
      </c>
      <c r="L134" s="24">
        <v>317900.0</v>
      </c>
      <c r="M134" s="25"/>
      <c r="N134" s="25"/>
      <c r="O134" s="24">
        <f t="shared" si="2"/>
        <v>43350</v>
      </c>
      <c r="P134" s="24">
        <f t="shared" si="3"/>
        <v>2846650</v>
      </c>
      <c r="Q134" s="26"/>
      <c r="R134" s="27"/>
      <c r="S134" s="39"/>
    </row>
    <row r="135">
      <c r="A135" s="34" t="s">
        <v>26</v>
      </c>
      <c r="B135" s="24">
        <v>1.368901403E12</v>
      </c>
      <c r="C135" s="25"/>
      <c r="D135" s="27"/>
      <c r="E135" s="37">
        <v>46003.0</v>
      </c>
      <c r="F135" s="42">
        <v>2.00250041104307E15</v>
      </c>
      <c r="G135" s="25"/>
      <c r="H135" s="25"/>
      <c r="I135" s="24">
        <v>1.41747E7</v>
      </c>
      <c r="J135" s="24">
        <v>1.277E7</v>
      </c>
      <c r="K135" s="24">
        <v>1.1705834E7</v>
      </c>
      <c r="L135" s="24">
        <v>1404700.0</v>
      </c>
      <c r="M135" s="25"/>
      <c r="N135" s="25"/>
      <c r="O135" s="24">
        <f t="shared" si="2"/>
        <v>191550</v>
      </c>
      <c r="P135" s="24">
        <f t="shared" si="3"/>
        <v>12578450</v>
      </c>
      <c r="Q135" s="26"/>
      <c r="R135" s="27"/>
      <c r="S135" s="39"/>
    </row>
    <row r="136">
      <c r="A136" s="34" t="s">
        <v>26</v>
      </c>
      <c r="B136" s="24">
        <v>1.368901403E12</v>
      </c>
      <c r="C136" s="25"/>
      <c r="D136" s="27"/>
      <c r="E136" s="37">
        <v>46007.0</v>
      </c>
      <c r="F136" s="42">
        <v>2.00250041861263E15</v>
      </c>
      <c r="G136" s="25"/>
      <c r="H136" s="25"/>
      <c r="I136" s="24">
        <v>2992465.0</v>
      </c>
      <c r="J136" s="24">
        <v>2695914.0</v>
      </c>
      <c r="K136" s="24">
        <v>2471255.0</v>
      </c>
      <c r="L136" s="24">
        <v>296551.0</v>
      </c>
      <c r="M136" s="25"/>
      <c r="N136" s="25"/>
      <c r="O136" s="24">
        <f t="shared" si="2"/>
        <v>40438.71</v>
      </c>
      <c r="P136" s="24">
        <f t="shared" si="3"/>
        <v>2655475.29</v>
      </c>
      <c r="Q136" s="26"/>
      <c r="R136" s="27"/>
      <c r="S136" s="39"/>
    </row>
    <row r="137">
      <c r="A137" s="34" t="s">
        <v>26</v>
      </c>
      <c r="B137" s="24">
        <v>1.368901403E12</v>
      </c>
      <c r="C137" s="25"/>
      <c r="D137" s="27"/>
      <c r="E137" s="37">
        <v>46007.0</v>
      </c>
      <c r="F137" s="42">
        <v>2.00250041865013E15</v>
      </c>
      <c r="G137" s="25"/>
      <c r="H137" s="25"/>
      <c r="I137" s="24">
        <v>5657337.0</v>
      </c>
      <c r="J137" s="24">
        <v>5096700.0</v>
      </c>
      <c r="K137" s="24">
        <v>4671975.0</v>
      </c>
      <c r="L137" s="24">
        <v>560637.0</v>
      </c>
      <c r="M137" s="25"/>
      <c r="N137" s="25"/>
      <c r="O137" s="24">
        <f t="shared" si="2"/>
        <v>76450.5</v>
      </c>
      <c r="P137" s="24">
        <f t="shared" si="3"/>
        <v>5020249.5</v>
      </c>
      <c r="Q137" s="26"/>
      <c r="R137" s="27"/>
      <c r="S137" s="39"/>
    </row>
    <row r="138">
      <c r="A138" s="34" t="s">
        <v>60</v>
      </c>
      <c r="B138" s="24">
        <v>1.0611671051E13</v>
      </c>
      <c r="C138" s="25"/>
      <c r="D138" s="27"/>
      <c r="E138" s="37">
        <v>46009.0</v>
      </c>
      <c r="F138" s="42">
        <v>4.01250042302737E15</v>
      </c>
      <c r="G138" s="25"/>
      <c r="H138" s="25"/>
      <c r="I138" s="24">
        <v>8991000.0</v>
      </c>
      <c r="J138" s="24">
        <v>8100000.0</v>
      </c>
      <c r="K138" s="24">
        <v>7425000.0</v>
      </c>
      <c r="L138" s="25"/>
      <c r="M138" s="24">
        <v>891000.0</v>
      </c>
      <c r="N138" s="25"/>
      <c r="O138" s="24">
        <f t="shared" si="2"/>
        <v>121500</v>
      </c>
      <c r="P138" s="24">
        <f t="shared" si="3"/>
        <v>8869500</v>
      </c>
      <c r="Q138" s="26"/>
      <c r="R138" s="27"/>
      <c r="S138" s="39"/>
    </row>
    <row r="139">
      <c r="A139" s="34" t="s">
        <v>26</v>
      </c>
      <c r="B139" s="24">
        <v>1.368901403E12</v>
      </c>
      <c r="C139" s="25"/>
      <c r="D139" s="27"/>
      <c r="E139" s="37">
        <v>46007.0</v>
      </c>
      <c r="F139" s="42">
        <v>2.00250041863503E15</v>
      </c>
      <c r="G139" s="25"/>
      <c r="H139" s="25"/>
      <c r="I139" s="24">
        <v>7271610.0</v>
      </c>
      <c r="J139" s="24">
        <v>6551000.0</v>
      </c>
      <c r="K139" s="24">
        <v>6005083.0</v>
      </c>
      <c r="L139" s="24">
        <v>720610.0</v>
      </c>
      <c r="M139" s="25"/>
      <c r="N139" s="25"/>
      <c r="O139" s="24">
        <f t="shared" si="2"/>
        <v>98265</v>
      </c>
      <c r="P139" s="24">
        <f t="shared" si="3"/>
        <v>6452735</v>
      </c>
      <c r="Q139" s="26"/>
      <c r="R139" s="27"/>
      <c r="S139" s="39"/>
    </row>
    <row r="140">
      <c r="A140" s="34" t="s">
        <v>60</v>
      </c>
      <c r="B140" s="24">
        <v>1.0611671051E13</v>
      </c>
      <c r="C140" s="25"/>
      <c r="D140" s="27"/>
      <c r="E140" s="37">
        <v>46009.0</v>
      </c>
      <c r="F140" s="42">
        <v>4.01250042302977E15</v>
      </c>
      <c r="G140" s="25"/>
      <c r="H140" s="25"/>
      <c r="I140" s="24">
        <v>8991000.0</v>
      </c>
      <c r="J140" s="24">
        <v>8100000.0</v>
      </c>
      <c r="K140" s="24">
        <v>7425000.0</v>
      </c>
      <c r="L140" s="25"/>
      <c r="M140" s="24">
        <v>891000.0</v>
      </c>
      <c r="N140" s="25"/>
      <c r="O140" s="24">
        <f t="shared" si="2"/>
        <v>121500</v>
      </c>
      <c r="P140" s="24">
        <f t="shared" si="3"/>
        <v>8869500</v>
      </c>
      <c r="Q140" s="26"/>
      <c r="R140" s="27"/>
      <c r="S140" s="39"/>
    </row>
    <row r="141">
      <c r="A141" s="34" t="s">
        <v>60</v>
      </c>
      <c r="B141" s="24">
        <v>1.0611671051E13</v>
      </c>
      <c r="C141" s="25"/>
      <c r="D141" s="27"/>
      <c r="E141" s="37">
        <v>46009.0</v>
      </c>
      <c r="F141" s="42">
        <v>4.01250042303086E15</v>
      </c>
      <c r="G141" s="25"/>
      <c r="H141" s="25"/>
      <c r="I141" s="24">
        <v>8991000.0</v>
      </c>
      <c r="J141" s="24">
        <v>8100000.0</v>
      </c>
      <c r="K141" s="24">
        <v>7425000.0</v>
      </c>
      <c r="L141" s="25"/>
      <c r="M141" s="24">
        <v>891000.0</v>
      </c>
      <c r="N141" s="25"/>
      <c r="O141" s="24">
        <f t="shared" si="2"/>
        <v>121500</v>
      </c>
      <c r="P141" s="24">
        <f t="shared" si="3"/>
        <v>8869500</v>
      </c>
      <c r="Q141" s="26"/>
      <c r="R141" s="27"/>
      <c r="S141" s="39"/>
    </row>
    <row r="142">
      <c r="A142" s="34" t="s">
        <v>60</v>
      </c>
      <c r="B142" s="24">
        <v>1.0611671051E13</v>
      </c>
      <c r="C142" s="25"/>
      <c r="D142" s="27"/>
      <c r="E142" s="37">
        <v>46009.0</v>
      </c>
      <c r="F142" s="42">
        <v>4.01250042303368E15</v>
      </c>
      <c r="G142" s="25"/>
      <c r="H142" s="25"/>
      <c r="I142" s="24">
        <v>8991000.0</v>
      </c>
      <c r="J142" s="24">
        <v>8100000.0</v>
      </c>
      <c r="K142" s="24">
        <v>7425000.0</v>
      </c>
      <c r="L142" s="25"/>
      <c r="M142" s="24">
        <v>891000.0</v>
      </c>
      <c r="N142" s="25"/>
      <c r="O142" s="24">
        <f t="shared" si="2"/>
        <v>121500</v>
      </c>
      <c r="P142" s="24">
        <f t="shared" si="3"/>
        <v>8869500</v>
      </c>
      <c r="Q142" s="26"/>
      <c r="R142" s="27"/>
      <c r="S142" s="39"/>
    </row>
    <row r="143">
      <c r="A143" s="34" t="s">
        <v>60</v>
      </c>
      <c r="B143" s="24">
        <v>1.0611671051E13</v>
      </c>
      <c r="C143" s="25"/>
      <c r="D143" s="27"/>
      <c r="E143" s="37">
        <v>46009.0</v>
      </c>
      <c r="F143" s="42">
        <v>4.01250042304518E15</v>
      </c>
      <c r="G143" s="25"/>
      <c r="H143" s="25"/>
      <c r="I143" s="24">
        <v>8991000.0</v>
      </c>
      <c r="J143" s="24">
        <v>8100000.0</v>
      </c>
      <c r="K143" s="24">
        <v>7425000.0</v>
      </c>
      <c r="L143" s="25"/>
      <c r="M143" s="24">
        <v>891000.0</v>
      </c>
      <c r="N143" s="25"/>
      <c r="O143" s="24">
        <f t="shared" si="2"/>
        <v>121500</v>
      </c>
      <c r="P143" s="24">
        <f t="shared" si="3"/>
        <v>8869500</v>
      </c>
      <c r="Q143" s="26"/>
      <c r="R143" s="27"/>
      <c r="S143" s="39"/>
    </row>
    <row r="144">
      <c r="A144" s="34" t="s">
        <v>60</v>
      </c>
      <c r="B144" s="24">
        <v>1.0611671051E13</v>
      </c>
      <c r="C144" s="25"/>
      <c r="D144" s="27"/>
      <c r="E144" s="37">
        <v>46009.0</v>
      </c>
      <c r="F144" s="42">
        <v>4.01250042304705E15</v>
      </c>
      <c r="G144" s="25"/>
      <c r="H144" s="25"/>
      <c r="I144" s="24">
        <v>6743250.0</v>
      </c>
      <c r="J144" s="24">
        <v>6075000.0</v>
      </c>
      <c r="K144" s="24">
        <v>5568750.0</v>
      </c>
      <c r="L144" s="25"/>
      <c r="M144" s="24">
        <v>668250.0</v>
      </c>
      <c r="N144" s="25"/>
      <c r="O144" s="24">
        <f t="shared" si="2"/>
        <v>91125</v>
      </c>
      <c r="P144" s="24">
        <f t="shared" si="3"/>
        <v>6652125</v>
      </c>
      <c r="Q144" s="26"/>
      <c r="R144" s="27"/>
      <c r="S144" s="39"/>
    </row>
    <row r="145">
      <c r="A145" s="34" t="s">
        <v>60</v>
      </c>
      <c r="B145" s="24">
        <v>1.0611671051E13</v>
      </c>
      <c r="C145" s="25"/>
      <c r="D145" s="27"/>
      <c r="E145" s="37">
        <v>46009.0</v>
      </c>
      <c r="F145" s="42">
        <v>4.0225004230483E15</v>
      </c>
      <c r="G145" s="25"/>
      <c r="H145" s="25"/>
      <c r="I145" s="24">
        <v>6743250.0</v>
      </c>
      <c r="J145" s="24">
        <v>6075000.0</v>
      </c>
      <c r="K145" s="24">
        <v>5568750.0</v>
      </c>
      <c r="L145" s="25"/>
      <c r="M145" s="24">
        <v>668250.0</v>
      </c>
      <c r="N145" s="25"/>
      <c r="O145" s="24">
        <f t="shared" si="2"/>
        <v>91125</v>
      </c>
      <c r="P145" s="24">
        <f t="shared" si="3"/>
        <v>6652125</v>
      </c>
      <c r="Q145" s="26"/>
      <c r="R145" s="27"/>
      <c r="S145" s="39"/>
    </row>
    <row r="146">
      <c r="A146" s="34" t="s">
        <v>66</v>
      </c>
      <c r="B146" s="24">
        <v>6.30922045425E14</v>
      </c>
      <c r="C146" s="25"/>
      <c r="D146" s="27"/>
      <c r="E146" s="37">
        <v>46001.0</v>
      </c>
      <c r="F146" s="42">
        <v>2.00250040740609E15</v>
      </c>
      <c r="G146" s="25"/>
      <c r="H146" s="25"/>
      <c r="I146" s="24">
        <v>1300000.0</v>
      </c>
      <c r="J146" s="24">
        <v>1171171.0</v>
      </c>
      <c r="K146" s="24">
        <v>1073574.0</v>
      </c>
      <c r="L146" s="24">
        <v>128829.0</v>
      </c>
      <c r="M146" s="25"/>
      <c r="N146" s="25"/>
      <c r="O146" s="24">
        <f t="shared" si="2"/>
        <v>17567.565</v>
      </c>
      <c r="P146" s="24">
        <f t="shared" si="3"/>
        <v>1153603.435</v>
      </c>
      <c r="Q146" s="26"/>
      <c r="R146" s="27"/>
      <c r="S146" s="39"/>
    </row>
    <row r="147">
      <c r="A147" s="34" t="s">
        <v>66</v>
      </c>
      <c r="B147" s="24">
        <v>6.30922045425E14</v>
      </c>
      <c r="C147" s="25"/>
      <c r="D147" s="27"/>
      <c r="E147" s="37">
        <v>45996.0</v>
      </c>
      <c r="F147" s="42">
        <v>2.00250039970136E15</v>
      </c>
      <c r="G147" s="25"/>
      <c r="H147" s="25"/>
      <c r="I147" s="24">
        <v>908106.0</v>
      </c>
      <c r="J147" s="24">
        <v>818114.0</v>
      </c>
      <c r="K147" s="24">
        <v>749937.0</v>
      </c>
      <c r="L147" s="25"/>
      <c r="M147" s="24">
        <v>89992.0</v>
      </c>
      <c r="N147" s="25"/>
      <c r="O147" s="24">
        <f t="shared" si="2"/>
        <v>12271.71</v>
      </c>
      <c r="P147" s="24">
        <f t="shared" si="3"/>
        <v>895834.29</v>
      </c>
      <c r="Q147" s="26"/>
      <c r="R147" s="27"/>
      <c r="S147" s="39"/>
    </row>
    <row r="148">
      <c r="A148" s="34" t="s">
        <v>66</v>
      </c>
      <c r="B148" s="24">
        <v>6.30922045425E14</v>
      </c>
      <c r="C148" s="25"/>
      <c r="D148" s="27"/>
      <c r="E148" s="37">
        <v>46008.0</v>
      </c>
      <c r="F148" s="42">
        <v>2.00250041972753E15</v>
      </c>
      <c r="G148" s="25"/>
      <c r="H148" s="25"/>
      <c r="I148" s="24">
        <v>1320000.0</v>
      </c>
      <c r="J148" s="24">
        <v>1189189.0</v>
      </c>
      <c r="K148" s="24">
        <v>1090090.0</v>
      </c>
      <c r="L148" s="25"/>
      <c r="M148" s="24">
        <v>130811.0</v>
      </c>
      <c r="N148" s="25"/>
      <c r="O148" s="24">
        <f t="shared" si="2"/>
        <v>17837.835</v>
      </c>
      <c r="P148" s="24">
        <f t="shared" si="3"/>
        <v>1302162.165</v>
      </c>
      <c r="Q148" s="26"/>
      <c r="R148" s="27"/>
      <c r="S148" s="39"/>
    </row>
    <row r="149">
      <c r="A149" s="34" t="s">
        <v>66</v>
      </c>
      <c r="B149" s="24">
        <v>6.30922045425E14</v>
      </c>
      <c r="C149" s="25"/>
      <c r="D149" s="27"/>
      <c r="E149" s="37">
        <v>46001.0</v>
      </c>
      <c r="F149" s="42">
        <v>2.00250040742061E15</v>
      </c>
      <c r="G149" s="25"/>
      <c r="H149" s="25"/>
      <c r="I149" s="44">
        <v>4673100.0</v>
      </c>
      <c r="J149" s="24">
        <v>4210000.0</v>
      </c>
      <c r="K149" s="24">
        <v>3859167.0</v>
      </c>
      <c r="L149" s="25"/>
      <c r="M149" s="24">
        <v>463100.0</v>
      </c>
      <c r="N149" s="25"/>
      <c r="O149" s="24">
        <f t="shared" si="2"/>
        <v>63150</v>
      </c>
      <c r="P149" s="24">
        <f t="shared" si="3"/>
        <v>4609950</v>
      </c>
      <c r="Q149" s="26"/>
      <c r="R149" s="27"/>
      <c r="S149" s="39"/>
    </row>
    <row r="150">
      <c r="A150" s="34" t="s">
        <v>66</v>
      </c>
      <c r="B150" s="24">
        <v>6.30922045425E14</v>
      </c>
      <c r="C150" s="25"/>
      <c r="D150" s="27"/>
      <c r="E150" s="37">
        <v>46001.0</v>
      </c>
      <c r="F150" s="42">
        <v>2.00250040738662E15</v>
      </c>
      <c r="G150" s="25"/>
      <c r="H150" s="25"/>
      <c r="I150" s="44">
        <v>1598400.0</v>
      </c>
      <c r="J150" s="24">
        <v>1440000.0</v>
      </c>
      <c r="K150" s="24">
        <v>1320000.0</v>
      </c>
      <c r="L150" s="25"/>
      <c r="M150" s="24">
        <v>158400.0</v>
      </c>
      <c r="N150" s="25"/>
      <c r="O150" s="24">
        <f t="shared" si="2"/>
        <v>21600</v>
      </c>
      <c r="P150" s="24">
        <f t="shared" si="3"/>
        <v>1576800</v>
      </c>
      <c r="Q150" s="26"/>
      <c r="R150" s="27"/>
      <c r="S150" s="39"/>
    </row>
    <row r="151">
      <c r="A151" s="34" t="s">
        <v>66</v>
      </c>
      <c r="B151" s="24">
        <v>6.30922045425E14</v>
      </c>
      <c r="C151" s="25"/>
      <c r="D151" s="27"/>
      <c r="E151" s="37">
        <v>46015.0</v>
      </c>
      <c r="F151" s="42">
        <v>2.00250045460258E15</v>
      </c>
      <c r="G151" s="25"/>
      <c r="H151" s="25"/>
      <c r="I151" s="24">
        <v>3561380.0</v>
      </c>
      <c r="J151" s="24">
        <v>3208451.0</v>
      </c>
      <c r="K151" s="24">
        <v>2941079.0</v>
      </c>
      <c r="L151" s="25"/>
      <c r="M151" s="24">
        <v>352929.0</v>
      </c>
      <c r="N151" s="25"/>
      <c r="O151" s="24">
        <f t="shared" si="2"/>
        <v>48126.765</v>
      </c>
      <c r="P151" s="24">
        <f t="shared" si="3"/>
        <v>3513253.235</v>
      </c>
      <c r="Q151" s="26"/>
      <c r="R151" s="27"/>
      <c r="S151" s="39"/>
    </row>
    <row r="152">
      <c r="A152" s="34" t="s">
        <v>66</v>
      </c>
      <c r="B152" s="24">
        <v>6.30922045425E14</v>
      </c>
      <c r="C152" s="25"/>
      <c r="D152" s="27"/>
      <c r="E152" s="37">
        <v>45996.0</v>
      </c>
      <c r="F152" s="42">
        <v>2.01250039964376E15</v>
      </c>
      <c r="G152" s="25"/>
      <c r="H152" s="25"/>
      <c r="I152" s="24">
        <v>1442000.0</v>
      </c>
      <c r="J152" s="24">
        <v>1299099.0</v>
      </c>
      <c r="K152" s="24">
        <v>1190841.0</v>
      </c>
      <c r="L152" s="25"/>
      <c r="M152" s="24">
        <v>142901.0</v>
      </c>
      <c r="N152" s="25"/>
      <c r="O152" s="24">
        <f t="shared" si="2"/>
        <v>19486.485</v>
      </c>
      <c r="P152" s="24">
        <f t="shared" si="3"/>
        <v>1422513.515</v>
      </c>
      <c r="Q152" s="26"/>
      <c r="R152" s="27"/>
      <c r="S152" s="39"/>
    </row>
    <row r="153">
      <c r="A153" s="34" t="s">
        <v>66</v>
      </c>
      <c r="B153" s="24">
        <v>6.30922045425E14</v>
      </c>
      <c r="C153" s="25"/>
      <c r="D153" s="27"/>
      <c r="E153" s="37">
        <v>46001.0</v>
      </c>
      <c r="F153" s="42">
        <v>2.00250040748524E15</v>
      </c>
      <c r="G153" s="25"/>
      <c r="H153" s="25"/>
      <c r="I153" s="24">
        <v>8290728.0</v>
      </c>
      <c r="J153" s="24">
        <v>7469124.0</v>
      </c>
      <c r="K153" s="24">
        <v>6846697.0</v>
      </c>
      <c r="L153" s="25"/>
      <c r="M153" s="24">
        <v>821604.0</v>
      </c>
      <c r="N153" s="25"/>
      <c r="O153" s="24">
        <f t="shared" si="2"/>
        <v>112036.86</v>
      </c>
      <c r="P153" s="24">
        <f t="shared" si="3"/>
        <v>8178691.14</v>
      </c>
      <c r="Q153" s="26"/>
      <c r="R153" s="27"/>
      <c r="S153" s="39"/>
    </row>
    <row r="154">
      <c r="A154" s="34" t="s">
        <v>66</v>
      </c>
      <c r="B154" s="24">
        <v>6.30922045425E14</v>
      </c>
      <c r="C154" s="25"/>
      <c r="D154" s="27"/>
      <c r="E154" s="37">
        <v>46001.0</v>
      </c>
      <c r="F154" s="42">
        <v>2.00250040744584E15</v>
      </c>
      <c r="G154" s="25"/>
      <c r="H154" s="25"/>
      <c r="I154" s="44">
        <v>1695000.0</v>
      </c>
      <c r="J154" s="24">
        <v>1527027.0</v>
      </c>
      <c r="K154" s="24">
        <v>1399775.0</v>
      </c>
      <c r="L154" s="25"/>
      <c r="M154" s="24">
        <v>167973.0</v>
      </c>
      <c r="N154" s="25"/>
      <c r="O154" s="24">
        <f t="shared" si="2"/>
        <v>22905.405</v>
      </c>
      <c r="P154" s="24">
        <f t="shared" si="3"/>
        <v>1672094.595</v>
      </c>
      <c r="Q154" s="26"/>
      <c r="R154" s="27"/>
      <c r="S154" s="39"/>
    </row>
    <row r="155">
      <c r="A155" s="34" t="s">
        <v>66</v>
      </c>
      <c r="B155" s="24">
        <v>6.30922045425E14</v>
      </c>
      <c r="C155" s="25"/>
      <c r="D155" s="27"/>
      <c r="E155" s="37">
        <v>45996.0</v>
      </c>
      <c r="F155" s="42">
        <v>2.00250039973814E15</v>
      </c>
      <c r="G155" s="25"/>
      <c r="H155" s="25"/>
      <c r="I155" s="24">
        <v>1008456.0</v>
      </c>
      <c r="J155" s="24">
        <v>908519.0</v>
      </c>
      <c r="K155" s="24">
        <v>832809.0</v>
      </c>
      <c r="L155" s="25"/>
      <c r="M155" s="24">
        <v>99937.0</v>
      </c>
      <c r="N155" s="25"/>
      <c r="O155" s="24">
        <f t="shared" si="2"/>
        <v>13627.785</v>
      </c>
      <c r="P155" s="24">
        <f t="shared" si="3"/>
        <v>994828.215</v>
      </c>
      <c r="Q155" s="26"/>
      <c r="R155" s="27"/>
      <c r="S155" s="39"/>
    </row>
    <row r="156">
      <c r="A156" s="34" t="s">
        <v>66</v>
      </c>
      <c r="B156" s="24">
        <v>6.30922045425E14</v>
      </c>
      <c r="C156" s="25"/>
      <c r="D156" s="27"/>
      <c r="E156" s="37">
        <v>46001.0</v>
      </c>
      <c r="F156" s="42">
        <v>2.00250040746204E15</v>
      </c>
      <c r="G156" s="25"/>
      <c r="H156" s="25"/>
      <c r="I156" s="24">
        <v>1300000.0</v>
      </c>
      <c r="J156" s="44">
        <v>1171171.0</v>
      </c>
      <c r="K156" s="24">
        <v>1073574.0</v>
      </c>
      <c r="L156" s="25"/>
      <c r="M156" s="24">
        <v>128829.0</v>
      </c>
      <c r="N156" s="25"/>
      <c r="O156" s="24">
        <f t="shared" si="2"/>
        <v>17567.565</v>
      </c>
      <c r="P156" s="24">
        <f t="shared" si="3"/>
        <v>1282432.435</v>
      </c>
      <c r="Q156" s="26"/>
      <c r="R156" s="27"/>
      <c r="S156" s="39"/>
    </row>
    <row r="157">
      <c r="A157" s="25"/>
      <c r="B157" s="25"/>
      <c r="C157" s="25"/>
      <c r="D157" s="27"/>
      <c r="E157" s="45"/>
      <c r="F157" s="27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6"/>
      <c r="R157" s="27"/>
      <c r="S157" s="39"/>
    </row>
    <row r="158">
      <c r="A158" s="25"/>
      <c r="B158" s="25"/>
      <c r="C158" s="25"/>
      <c r="D158" s="27"/>
      <c r="E158" s="45"/>
      <c r="F158" s="27"/>
      <c r="G158" s="25"/>
      <c r="H158" s="25"/>
      <c r="I158" s="25"/>
      <c r="J158" s="25"/>
      <c r="K158" s="25"/>
      <c r="L158" s="25"/>
      <c r="M158" s="25"/>
      <c r="N158" s="25"/>
      <c r="O158" s="25"/>
      <c r="P158" s="24">
        <f>J158+M158</f>
        <v>0</v>
      </c>
      <c r="Q158" s="26"/>
      <c r="R158" s="27"/>
      <c r="S158" s="3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13"/>
    <col customWidth="1" min="3" max="3" width="50.25"/>
    <col customWidth="1" min="4" max="4" width="16.88"/>
    <col customWidth="1" min="5" max="5" width="50.25"/>
    <col customWidth="1" min="6" max="6" width="31.38"/>
    <col customWidth="1" min="7" max="7" width="12.63"/>
    <col customWidth="1" min="8" max="8" width="19.88"/>
    <col customWidth="1" min="10" max="10" width="12.88"/>
    <col customWidth="1" min="14" max="14" width="34.0"/>
    <col customWidth="1" min="17" max="17" width="15.75"/>
  </cols>
  <sheetData>
    <row r="1" ht="15.75" customHeight="1">
      <c r="A1" s="46" t="s">
        <v>99</v>
      </c>
      <c r="B1" s="47">
        <v>4.78888333E9</v>
      </c>
      <c r="C1" s="48"/>
      <c r="D1" s="48"/>
      <c r="E1" s="48"/>
      <c r="F1" s="48"/>
      <c r="G1" s="48"/>
      <c r="H1" s="48"/>
      <c r="I1" s="49"/>
      <c r="J1" s="49"/>
      <c r="K1" s="49"/>
      <c r="L1" s="49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ht="15.75" customHeight="1">
      <c r="A2" s="48"/>
      <c r="B2" s="48"/>
      <c r="C2" s="48"/>
      <c r="D2" s="48"/>
      <c r="E2" s="46"/>
      <c r="F2" s="48"/>
      <c r="G2" s="48"/>
      <c r="H2" s="48"/>
      <c r="I2" s="49"/>
      <c r="J2" s="50" t="s">
        <v>100</v>
      </c>
      <c r="K2" s="50" t="s">
        <v>101</v>
      </c>
      <c r="L2" s="49"/>
      <c r="M2" s="48"/>
      <c r="N2" s="51" t="s">
        <v>102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</row>
    <row r="3" ht="15.75" customHeight="1">
      <c r="A3" s="52" t="s">
        <v>18</v>
      </c>
      <c r="B3" s="52" t="s">
        <v>103</v>
      </c>
      <c r="C3" s="53" t="s">
        <v>3</v>
      </c>
      <c r="D3" s="54" t="s">
        <v>7</v>
      </c>
      <c r="E3" s="54" t="s">
        <v>104</v>
      </c>
      <c r="F3" s="52" t="s">
        <v>4</v>
      </c>
      <c r="G3" s="55" t="s">
        <v>105</v>
      </c>
      <c r="H3" s="52" t="s">
        <v>6</v>
      </c>
      <c r="I3" s="54" t="s">
        <v>106</v>
      </c>
      <c r="J3" s="56" t="s">
        <v>107</v>
      </c>
      <c r="K3" s="56" t="s">
        <v>108</v>
      </c>
      <c r="L3" s="56" t="s">
        <v>109</v>
      </c>
      <c r="M3" s="57" t="s">
        <v>5</v>
      </c>
      <c r="N3" s="58" t="s">
        <v>110</v>
      </c>
      <c r="O3" s="58" t="s">
        <v>111</v>
      </c>
      <c r="P3" s="46" t="s">
        <v>112</v>
      </c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</row>
    <row r="4" ht="15.75" customHeight="1">
      <c r="A4" s="59"/>
      <c r="B4" s="60" t="s">
        <v>113</v>
      </c>
      <c r="C4" s="60" t="s">
        <v>114</v>
      </c>
      <c r="D4" s="61"/>
      <c r="E4" s="61"/>
      <c r="F4" s="61"/>
      <c r="G4" s="62">
        <v>45816.0</v>
      </c>
      <c r="H4" s="59"/>
      <c r="I4" s="63">
        <v>705700.0</v>
      </c>
      <c r="J4" s="64"/>
      <c r="K4" s="64"/>
      <c r="L4" s="65">
        <f t="shared" ref="L4:L9" si="1">I4+J4</f>
        <v>705700</v>
      </c>
      <c r="M4" s="66">
        <f t="shared" ref="M4:M58" si="2">MONTH(G4)</f>
        <v>6</v>
      </c>
      <c r="N4" s="67" t="s">
        <v>115</v>
      </c>
      <c r="O4" s="46" t="s">
        <v>116</v>
      </c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</row>
    <row r="5" ht="15.75" customHeight="1">
      <c r="A5" s="59"/>
      <c r="B5" s="60" t="s">
        <v>117</v>
      </c>
      <c r="C5" s="60" t="s">
        <v>118</v>
      </c>
      <c r="D5" s="61"/>
      <c r="E5" s="61"/>
      <c r="F5" s="61"/>
      <c r="G5" s="68">
        <v>45882.0</v>
      </c>
      <c r="H5" s="59"/>
      <c r="I5" s="63">
        <v>1.13816E7</v>
      </c>
      <c r="J5" s="64"/>
      <c r="K5" s="64"/>
      <c r="L5" s="65">
        <f t="shared" si="1"/>
        <v>11381600</v>
      </c>
      <c r="M5" s="66">
        <f t="shared" si="2"/>
        <v>8</v>
      </c>
      <c r="N5" s="69" t="s">
        <v>119</v>
      </c>
      <c r="O5" s="46" t="s">
        <v>116</v>
      </c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</row>
    <row r="6" ht="15.75" customHeight="1">
      <c r="A6" s="59"/>
      <c r="B6" s="60" t="s">
        <v>117</v>
      </c>
      <c r="C6" s="60" t="s">
        <v>120</v>
      </c>
      <c r="D6" s="61"/>
      <c r="E6" s="70" t="s">
        <v>121</v>
      </c>
      <c r="F6" s="61"/>
      <c r="G6" s="68">
        <v>45882.0</v>
      </c>
      <c r="H6" s="59"/>
      <c r="I6" s="63">
        <v>2654410.0</v>
      </c>
      <c r="J6" s="65"/>
      <c r="K6" s="64"/>
      <c r="L6" s="65">
        <f t="shared" si="1"/>
        <v>2654410</v>
      </c>
      <c r="M6" s="66">
        <f t="shared" si="2"/>
        <v>8</v>
      </c>
      <c r="N6" s="69" t="s">
        <v>122</v>
      </c>
      <c r="O6" s="46" t="s">
        <v>116</v>
      </c>
      <c r="P6" s="48"/>
      <c r="Q6" s="71">
        <v>1322000.0</v>
      </c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</row>
    <row r="7" ht="15.75" customHeight="1">
      <c r="A7" s="59"/>
      <c r="B7" s="60" t="s">
        <v>123</v>
      </c>
      <c r="C7" s="72" t="s">
        <v>124</v>
      </c>
      <c r="D7" s="73"/>
      <c r="E7" s="70" t="s">
        <v>125</v>
      </c>
      <c r="F7" s="70" t="s">
        <v>126</v>
      </c>
      <c r="G7" s="74">
        <v>45880.0</v>
      </c>
      <c r="H7" s="59"/>
      <c r="I7" s="63">
        <v>3040541.0</v>
      </c>
      <c r="J7" s="65">
        <f>I7*11%</f>
        <v>334459.51</v>
      </c>
      <c r="K7" s="64"/>
      <c r="L7" s="65">
        <f t="shared" si="1"/>
        <v>3375000.51</v>
      </c>
      <c r="M7" s="66">
        <f t="shared" si="2"/>
        <v>8</v>
      </c>
      <c r="N7" s="69" t="s">
        <v>127</v>
      </c>
      <c r="O7" s="46" t="s">
        <v>116</v>
      </c>
      <c r="P7" s="69" t="s">
        <v>128</v>
      </c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</row>
    <row r="8" ht="15.75" customHeight="1">
      <c r="A8" s="59"/>
      <c r="B8" s="60" t="s">
        <v>117</v>
      </c>
      <c r="C8" s="72" t="s">
        <v>129</v>
      </c>
      <c r="D8" s="73"/>
      <c r="E8" s="61" t="s">
        <v>130</v>
      </c>
      <c r="F8" s="73"/>
      <c r="G8" s="74">
        <v>45882.0</v>
      </c>
      <c r="H8" s="59"/>
      <c r="I8" s="63">
        <v>1408256.0</v>
      </c>
      <c r="J8" s="65"/>
      <c r="K8" s="64"/>
      <c r="L8" s="65">
        <f t="shared" si="1"/>
        <v>1408256</v>
      </c>
      <c r="M8" s="66">
        <f t="shared" si="2"/>
        <v>8</v>
      </c>
      <c r="N8" s="69" t="s">
        <v>131</v>
      </c>
      <c r="O8" s="46" t="s">
        <v>116</v>
      </c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</row>
    <row r="9" ht="15.75" customHeight="1">
      <c r="A9" s="59"/>
      <c r="B9" s="60" t="s">
        <v>132</v>
      </c>
      <c r="C9" s="72" t="s">
        <v>133</v>
      </c>
      <c r="D9" s="75"/>
      <c r="E9" s="61" t="s">
        <v>130</v>
      </c>
      <c r="F9" s="75"/>
      <c r="G9" s="74">
        <v>45888.0</v>
      </c>
      <c r="H9" s="59"/>
      <c r="I9" s="63">
        <v>136554.0</v>
      </c>
      <c r="J9" s="65">
        <f t="shared" ref="J9:J10" si="3">I9*11%</f>
        <v>15020.94</v>
      </c>
      <c r="K9" s="64"/>
      <c r="L9" s="65">
        <f t="shared" si="1"/>
        <v>151574.94</v>
      </c>
      <c r="M9" s="66">
        <f t="shared" si="2"/>
        <v>8</v>
      </c>
      <c r="N9" s="69" t="s">
        <v>134</v>
      </c>
      <c r="O9" s="46" t="s">
        <v>116</v>
      </c>
      <c r="P9" s="69" t="s">
        <v>135</v>
      </c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</row>
    <row r="10" ht="15.75" customHeight="1">
      <c r="A10" s="59"/>
      <c r="B10" s="60" t="s">
        <v>136</v>
      </c>
      <c r="C10" s="72" t="s">
        <v>137</v>
      </c>
      <c r="D10" s="73"/>
      <c r="E10" s="61" t="s">
        <v>138</v>
      </c>
      <c r="F10" s="73"/>
      <c r="G10" s="74">
        <v>45869.0</v>
      </c>
      <c r="H10" s="59"/>
      <c r="I10" s="63">
        <v>2800000.0</v>
      </c>
      <c r="J10" s="76">
        <f t="shared" si="3"/>
        <v>308000</v>
      </c>
      <c r="K10" s="64"/>
      <c r="L10" s="76">
        <v>3108000.0</v>
      </c>
      <c r="M10" s="66">
        <f t="shared" si="2"/>
        <v>7</v>
      </c>
      <c r="N10" s="69" t="s">
        <v>139</v>
      </c>
      <c r="O10" s="46" t="s">
        <v>116</v>
      </c>
      <c r="P10" s="69" t="s">
        <v>140</v>
      </c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</row>
    <row r="11" ht="15.75" customHeight="1">
      <c r="A11" s="59"/>
      <c r="B11" s="60" t="s">
        <v>117</v>
      </c>
      <c r="C11" s="72" t="s">
        <v>141</v>
      </c>
      <c r="D11" s="73"/>
      <c r="E11" s="61" t="s">
        <v>142</v>
      </c>
      <c r="F11" s="73"/>
      <c r="G11" s="74">
        <v>45895.0</v>
      </c>
      <c r="H11" s="59"/>
      <c r="I11" s="63">
        <v>2021100.0</v>
      </c>
      <c r="J11" s="64"/>
      <c r="K11" s="64"/>
      <c r="L11" s="76">
        <v>2021100.0</v>
      </c>
      <c r="M11" s="66">
        <f t="shared" si="2"/>
        <v>8</v>
      </c>
      <c r="N11" s="69" t="s">
        <v>143</v>
      </c>
      <c r="O11" s="46" t="s">
        <v>116</v>
      </c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</row>
    <row r="12" ht="15.75" customHeight="1">
      <c r="A12" s="59"/>
      <c r="B12" s="60" t="s">
        <v>117</v>
      </c>
      <c r="C12" s="72" t="s">
        <v>144</v>
      </c>
      <c r="D12" s="75"/>
      <c r="E12" s="70" t="s">
        <v>145</v>
      </c>
      <c r="F12" s="75"/>
      <c r="G12" s="74">
        <v>45895.0</v>
      </c>
      <c r="H12" s="59"/>
      <c r="I12" s="63">
        <v>82499.0</v>
      </c>
      <c r="J12" s="64"/>
      <c r="K12" s="64"/>
      <c r="L12" s="76">
        <v>82499.0</v>
      </c>
      <c r="M12" s="66">
        <f t="shared" si="2"/>
        <v>8</v>
      </c>
      <c r="N12" s="69" t="s">
        <v>146</v>
      </c>
      <c r="O12" s="46" t="s">
        <v>116</v>
      </c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</row>
    <row r="13" ht="15.75" customHeight="1">
      <c r="A13" s="59"/>
      <c r="B13" s="60" t="s">
        <v>117</v>
      </c>
      <c r="C13" s="72" t="s">
        <v>147</v>
      </c>
      <c r="D13" s="75"/>
      <c r="E13" s="70" t="s">
        <v>148</v>
      </c>
      <c r="F13" s="75"/>
      <c r="G13" s="77">
        <v>45896.0</v>
      </c>
      <c r="H13" s="59"/>
      <c r="I13" s="63">
        <v>1086000.0</v>
      </c>
      <c r="J13" s="64"/>
      <c r="K13" s="64"/>
      <c r="L13" s="76">
        <v>1086000.0</v>
      </c>
      <c r="M13" s="66">
        <f t="shared" si="2"/>
        <v>8</v>
      </c>
      <c r="N13" s="69" t="s">
        <v>149</v>
      </c>
      <c r="O13" s="46" t="s">
        <v>116</v>
      </c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</row>
    <row r="14" ht="15.75" customHeight="1">
      <c r="A14" s="59"/>
      <c r="B14" s="60" t="s">
        <v>132</v>
      </c>
      <c r="C14" s="78" t="s">
        <v>150</v>
      </c>
      <c r="D14" s="73"/>
      <c r="E14" s="70" t="s">
        <v>151</v>
      </c>
      <c r="F14" s="70" t="s">
        <v>152</v>
      </c>
      <c r="G14" s="74">
        <v>45890.0</v>
      </c>
      <c r="H14" s="59"/>
      <c r="I14" s="63">
        <v>3040541.0</v>
      </c>
      <c r="J14" s="79">
        <v>334459.0</v>
      </c>
      <c r="K14" s="64"/>
      <c r="L14" s="65">
        <f t="shared" ref="L14:L26" si="4">I14+J14</f>
        <v>3375000</v>
      </c>
      <c r="M14" s="66">
        <f t="shared" si="2"/>
        <v>8</v>
      </c>
      <c r="N14" s="69" t="s">
        <v>153</v>
      </c>
      <c r="O14" s="46" t="s">
        <v>116</v>
      </c>
      <c r="P14" s="69" t="s">
        <v>154</v>
      </c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</row>
    <row r="15" ht="15.75" customHeight="1">
      <c r="A15" s="59"/>
      <c r="B15" s="60" t="s">
        <v>155</v>
      </c>
      <c r="C15" s="72" t="s">
        <v>156</v>
      </c>
      <c r="D15" s="73"/>
      <c r="E15" s="70" t="s">
        <v>157</v>
      </c>
      <c r="F15" s="70" t="s">
        <v>158</v>
      </c>
      <c r="G15" s="74">
        <v>45897.0</v>
      </c>
      <c r="H15" s="59"/>
      <c r="I15" s="63">
        <v>700000.0</v>
      </c>
      <c r="J15" s="79">
        <v>77000.0</v>
      </c>
      <c r="K15" s="64"/>
      <c r="L15" s="65">
        <f t="shared" si="4"/>
        <v>777000</v>
      </c>
      <c r="M15" s="66">
        <f t="shared" si="2"/>
        <v>8</v>
      </c>
      <c r="N15" s="69" t="s">
        <v>159</v>
      </c>
      <c r="O15" s="46" t="s">
        <v>116</v>
      </c>
      <c r="P15" s="46" t="s">
        <v>160</v>
      </c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ht="15.75" customHeight="1">
      <c r="A16" s="80"/>
      <c r="B16" s="60" t="s">
        <v>161</v>
      </c>
      <c r="C16" s="72" t="s">
        <v>162</v>
      </c>
      <c r="D16" s="73"/>
      <c r="E16" s="70" t="s">
        <v>163</v>
      </c>
      <c r="F16" s="70" t="s">
        <v>164</v>
      </c>
      <c r="G16" s="74">
        <v>45896.0</v>
      </c>
      <c r="H16" s="59"/>
      <c r="I16" s="63">
        <v>6088810.0</v>
      </c>
      <c r="J16" s="76">
        <v>669769.0</v>
      </c>
      <c r="K16" s="65"/>
      <c r="L16" s="65">
        <f t="shared" si="4"/>
        <v>6758579</v>
      </c>
      <c r="M16" s="66">
        <f t="shared" si="2"/>
        <v>8</v>
      </c>
      <c r="N16" s="69" t="s">
        <v>165</v>
      </c>
      <c r="O16" s="46" t="s">
        <v>116</v>
      </c>
      <c r="P16" s="46" t="s">
        <v>160</v>
      </c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ht="15.75" customHeight="1">
      <c r="A17" s="59"/>
      <c r="B17" s="60" t="s">
        <v>117</v>
      </c>
      <c r="C17" s="72" t="s">
        <v>166</v>
      </c>
      <c r="D17" s="73"/>
      <c r="E17" s="61" t="s">
        <v>167</v>
      </c>
      <c r="F17" s="73"/>
      <c r="G17" s="74">
        <v>45896.0</v>
      </c>
      <c r="H17" s="59"/>
      <c r="I17" s="63">
        <v>206508.0</v>
      </c>
      <c r="J17" s="64"/>
      <c r="K17" s="64"/>
      <c r="L17" s="65">
        <f t="shared" si="4"/>
        <v>206508</v>
      </c>
      <c r="M17" s="66">
        <f t="shared" si="2"/>
        <v>8</v>
      </c>
      <c r="N17" s="69" t="s">
        <v>168</v>
      </c>
      <c r="O17" s="46" t="s">
        <v>116</v>
      </c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</row>
    <row r="18" ht="15.75" customHeight="1">
      <c r="A18" s="59"/>
      <c r="B18" s="60" t="s">
        <v>169</v>
      </c>
      <c r="C18" s="72" t="s">
        <v>170</v>
      </c>
      <c r="D18" s="73"/>
      <c r="E18" s="70" t="s">
        <v>171</v>
      </c>
      <c r="F18" s="73"/>
      <c r="G18" s="74">
        <v>45898.0</v>
      </c>
      <c r="H18" s="59"/>
      <c r="I18" s="63">
        <v>541000.0</v>
      </c>
      <c r="J18" s="65"/>
      <c r="K18" s="64"/>
      <c r="L18" s="65">
        <f t="shared" si="4"/>
        <v>541000</v>
      </c>
      <c r="M18" s="66">
        <f t="shared" si="2"/>
        <v>8</v>
      </c>
      <c r="N18" s="69" t="s">
        <v>172</v>
      </c>
      <c r="O18" s="46" t="s">
        <v>116</v>
      </c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ht="15.75" customHeight="1">
      <c r="A19" s="59"/>
      <c r="B19" s="60" t="s">
        <v>173</v>
      </c>
      <c r="C19" s="72" t="s">
        <v>174</v>
      </c>
      <c r="D19" s="73"/>
      <c r="E19" s="61" t="s">
        <v>175</v>
      </c>
      <c r="F19" s="70" t="s">
        <v>176</v>
      </c>
      <c r="G19" s="74">
        <v>45898.0</v>
      </c>
      <c r="H19" s="59"/>
      <c r="I19" s="63">
        <v>425000.0</v>
      </c>
      <c r="J19" s="79">
        <v>46750.0</v>
      </c>
      <c r="K19" s="64"/>
      <c r="L19" s="65">
        <f t="shared" si="4"/>
        <v>471750</v>
      </c>
      <c r="M19" s="66">
        <f t="shared" si="2"/>
        <v>8</v>
      </c>
      <c r="N19" s="69" t="s">
        <v>177</v>
      </c>
      <c r="O19" s="46" t="s">
        <v>116</v>
      </c>
      <c r="P19" s="46" t="s">
        <v>178</v>
      </c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</row>
    <row r="20" ht="15.75" customHeight="1">
      <c r="A20" s="59"/>
      <c r="B20" s="60" t="s">
        <v>117</v>
      </c>
      <c r="C20" s="72" t="s">
        <v>179</v>
      </c>
      <c r="D20" s="73"/>
      <c r="E20" s="70" t="s">
        <v>180</v>
      </c>
      <c r="F20" s="73"/>
      <c r="G20" s="74">
        <v>45903.0</v>
      </c>
      <c r="H20" s="59"/>
      <c r="I20" s="81">
        <v>96580.0</v>
      </c>
      <c r="J20" s="64"/>
      <c r="K20" s="64"/>
      <c r="L20" s="65">
        <f t="shared" si="4"/>
        <v>96580</v>
      </c>
      <c r="M20" s="66">
        <f t="shared" si="2"/>
        <v>9</v>
      </c>
      <c r="N20" s="69" t="s">
        <v>181</v>
      </c>
      <c r="O20" s="46" t="s">
        <v>116</v>
      </c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</row>
    <row r="21" ht="15.75" customHeight="1">
      <c r="A21" s="59"/>
      <c r="B21" s="60" t="s">
        <v>117</v>
      </c>
      <c r="C21" s="72" t="s">
        <v>182</v>
      </c>
      <c r="D21" s="73"/>
      <c r="E21" s="70" t="s">
        <v>180</v>
      </c>
      <c r="F21" s="73"/>
      <c r="G21" s="74">
        <v>45903.0</v>
      </c>
      <c r="H21" s="59"/>
      <c r="I21" s="63">
        <v>402500.0</v>
      </c>
      <c r="J21" s="64"/>
      <c r="K21" s="64"/>
      <c r="L21" s="65">
        <f t="shared" si="4"/>
        <v>402500</v>
      </c>
      <c r="M21" s="66">
        <f t="shared" si="2"/>
        <v>9</v>
      </c>
      <c r="N21" s="69" t="s">
        <v>183</v>
      </c>
      <c r="O21" s="46" t="s">
        <v>116</v>
      </c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</row>
    <row r="22" ht="15.75" customHeight="1">
      <c r="A22" s="59"/>
      <c r="B22" s="60" t="s">
        <v>184</v>
      </c>
      <c r="C22" s="72" t="s">
        <v>185</v>
      </c>
      <c r="D22" s="73"/>
      <c r="E22" s="61" t="s">
        <v>142</v>
      </c>
      <c r="F22" s="73"/>
      <c r="G22" s="74">
        <v>45903.0</v>
      </c>
      <c r="H22" s="59"/>
      <c r="I22" s="63">
        <v>430000.0</v>
      </c>
      <c r="J22" s="65"/>
      <c r="K22" s="64"/>
      <c r="L22" s="65">
        <f t="shared" si="4"/>
        <v>430000</v>
      </c>
      <c r="M22" s="66">
        <f t="shared" si="2"/>
        <v>9</v>
      </c>
      <c r="N22" s="69" t="s">
        <v>186</v>
      </c>
      <c r="O22" s="46" t="s">
        <v>116</v>
      </c>
      <c r="P22" s="46" t="s">
        <v>187</v>
      </c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</row>
    <row r="23" ht="15.75" customHeight="1">
      <c r="A23" s="59"/>
      <c r="B23" s="60" t="s">
        <v>132</v>
      </c>
      <c r="C23" s="72" t="s">
        <v>188</v>
      </c>
      <c r="D23" s="73"/>
      <c r="E23" s="70" t="s">
        <v>189</v>
      </c>
      <c r="F23" s="70" t="s">
        <v>190</v>
      </c>
      <c r="G23" s="74">
        <v>45896.0</v>
      </c>
      <c r="H23" s="59"/>
      <c r="I23" s="63">
        <v>6081081.0</v>
      </c>
      <c r="J23" s="79">
        <v>668919.0</v>
      </c>
      <c r="K23" s="64"/>
      <c r="L23" s="65">
        <f t="shared" si="4"/>
        <v>6750000</v>
      </c>
      <c r="M23" s="66">
        <f t="shared" si="2"/>
        <v>8</v>
      </c>
      <c r="N23" s="69" t="s">
        <v>191</v>
      </c>
      <c r="O23" s="46" t="s">
        <v>116</v>
      </c>
      <c r="P23" s="69" t="s">
        <v>192</v>
      </c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</row>
    <row r="24" ht="15.75" customHeight="1">
      <c r="A24" s="59"/>
      <c r="B24" s="60" t="s">
        <v>132</v>
      </c>
      <c r="C24" s="72" t="s">
        <v>193</v>
      </c>
      <c r="D24" s="73"/>
      <c r="E24" s="70" t="s">
        <v>194</v>
      </c>
      <c r="F24" s="70" t="s">
        <v>195</v>
      </c>
      <c r="G24" s="74">
        <v>45897.0</v>
      </c>
      <c r="H24" s="59"/>
      <c r="I24" s="63">
        <v>3386086.0</v>
      </c>
      <c r="J24" s="76">
        <v>372469.0</v>
      </c>
      <c r="K24" s="64"/>
      <c r="L24" s="65">
        <f t="shared" si="4"/>
        <v>3758555</v>
      </c>
      <c r="M24" s="66">
        <f t="shared" si="2"/>
        <v>8</v>
      </c>
      <c r="N24" s="69" t="s">
        <v>196</v>
      </c>
      <c r="O24" s="46" t="s">
        <v>116</v>
      </c>
      <c r="P24" s="69" t="s">
        <v>197</v>
      </c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</row>
    <row r="25" ht="15.75" customHeight="1">
      <c r="A25" s="59"/>
      <c r="B25" s="60" t="s">
        <v>136</v>
      </c>
      <c r="C25" s="72" t="s">
        <v>198</v>
      </c>
      <c r="D25" s="70" t="s">
        <v>199</v>
      </c>
      <c r="E25" s="70" t="s">
        <v>200</v>
      </c>
      <c r="F25" s="70" t="s">
        <v>201</v>
      </c>
      <c r="G25" s="74">
        <v>45876.0</v>
      </c>
      <c r="H25" s="59"/>
      <c r="I25" s="63">
        <v>1.228401E7</v>
      </c>
      <c r="J25" s="79">
        <v>1351241.0</v>
      </c>
      <c r="K25" s="64"/>
      <c r="L25" s="65">
        <f t="shared" si="4"/>
        <v>13635251</v>
      </c>
      <c r="M25" s="66">
        <f t="shared" si="2"/>
        <v>8</v>
      </c>
      <c r="N25" s="69" t="s">
        <v>202</v>
      </c>
      <c r="O25" s="46" t="s">
        <v>116</v>
      </c>
      <c r="P25" s="69" t="s">
        <v>203</v>
      </c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</row>
    <row r="26" ht="15.75" customHeight="1">
      <c r="A26" s="59"/>
      <c r="B26" s="60" t="s">
        <v>173</v>
      </c>
      <c r="C26" s="72" t="s">
        <v>204</v>
      </c>
      <c r="D26" s="73"/>
      <c r="E26" s="61" t="s">
        <v>205</v>
      </c>
      <c r="F26" s="70" t="s">
        <v>206</v>
      </c>
      <c r="G26" s="77">
        <v>45908.0</v>
      </c>
      <c r="H26" s="59"/>
      <c r="I26" s="63">
        <v>720440.0</v>
      </c>
      <c r="J26" s="76">
        <v>79248.0</v>
      </c>
      <c r="K26" s="64"/>
      <c r="L26" s="65">
        <f t="shared" si="4"/>
        <v>799688</v>
      </c>
      <c r="M26" s="66">
        <f t="shared" si="2"/>
        <v>9</v>
      </c>
      <c r="N26" s="69" t="s">
        <v>207</v>
      </c>
      <c r="O26" s="46" t="s">
        <v>116</v>
      </c>
      <c r="P26" s="46" t="s">
        <v>208</v>
      </c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</row>
    <row r="27" ht="15.75" customHeight="1">
      <c r="A27" s="59"/>
      <c r="B27" s="60" t="s">
        <v>117</v>
      </c>
      <c r="C27" s="72" t="s">
        <v>209</v>
      </c>
      <c r="D27" s="73"/>
      <c r="E27" s="61" t="s">
        <v>142</v>
      </c>
      <c r="F27" s="73"/>
      <c r="G27" s="77">
        <v>45908.0</v>
      </c>
      <c r="H27" s="59"/>
      <c r="I27" s="63">
        <v>543000.0</v>
      </c>
      <c r="J27" s="65"/>
      <c r="K27" s="65"/>
      <c r="L27" s="82">
        <f t="shared" ref="L27:L28" si="5">I27</f>
        <v>543000</v>
      </c>
      <c r="M27" s="66">
        <f t="shared" si="2"/>
        <v>9</v>
      </c>
      <c r="N27" s="69" t="s">
        <v>210</v>
      </c>
      <c r="O27" s="46" t="s">
        <v>116</v>
      </c>
      <c r="P27" s="48"/>
      <c r="Q27" s="48"/>
      <c r="R27" s="83"/>
      <c r="S27" s="84"/>
      <c r="T27" s="48"/>
      <c r="U27" s="48"/>
      <c r="V27" s="48"/>
      <c r="W27" s="48"/>
      <c r="X27" s="48"/>
      <c r="Y27" s="48"/>
      <c r="Z27" s="48"/>
      <c r="AA27" s="48"/>
      <c r="AB27" s="48"/>
    </row>
    <row r="28" ht="15.75" customHeight="1">
      <c r="A28" s="59"/>
      <c r="B28" s="60" t="s">
        <v>211</v>
      </c>
      <c r="C28" s="72" t="s">
        <v>212</v>
      </c>
      <c r="D28" s="73"/>
      <c r="E28" s="73"/>
      <c r="F28" s="73"/>
      <c r="G28" s="77">
        <v>45900.0</v>
      </c>
      <c r="H28" s="59"/>
      <c r="I28" s="63">
        <v>400000.0</v>
      </c>
      <c r="J28" s="65"/>
      <c r="K28" s="64"/>
      <c r="L28" s="65">
        <f t="shared" si="5"/>
        <v>400000</v>
      </c>
      <c r="M28" s="66">
        <f t="shared" si="2"/>
        <v>8</v>
      </c>
      <c r="N28" s="69" t="s">
        <v>213</v>
      </c>
      <c r="O28" s="46" t="s">
        <v>116</v>
      </c>
      <c r="P28" s="69" t="s">
        <v>214</v>
      </c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</row>
    <row r="29" ht="15.75" customHeight="1">
      <c r="A29" s="59"/>
      <c r="B29" s="60" t="s">
        <v>123</v>
      </c>
      <c r="C29" s="72" t="s">
        <v>215</v>
      </c>
      <c r="D29" s="61"/>
      <c r="E29" s="70" t="s">
        <v>216</v>
      </c>
      <c r="F29" s="70" t="s">
        <v>217</v>
      </c>
      <c r="G29" s="74">
        <v>45909.0</v>
      </c>
      <c r="H29" s="59"/>
      <c r="I29" s="63">
        <v>4560811.0</v>
      </c>
      <c r="J29" s="79">
        <v>501689.0</v>
      </c>
      <c r="K29" s="64"/>
      <c r="L29" s="65">
        <f>I29+J29</f>
        <v>5062500</v>
      </c>
      <c r="M29" s="66">
        <f t="shared" si="2"/>
        <v>9</v>
      </c>
      <c r="N29" s="69" t="s">
        <v>218</v>
      </c>
      <c r="O29" s="46" t="s">
        <v>116</v>
      </c>
      <c r="P29" s="69" t="s">
        <v>219</v>
      </c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</row>
    <row r="30" ht="15.75" customHeight="1">
      <c r="A30" s="59"/>
      <c r="B30" s="60" t="s">
        <v>220</v>
      </c>
      <c r="C30" s="72" t="s">
        <v>221</v>
      </c>
      <c r="D30" s="73"/>
      <c r="E30" s="73"/>
      <c r="F30" s="73"/>
      <c r="G30" s="74">
        <v>45915.0</v>
      </c>
      <c r="H30" s="59"/>
      <c r="I30" s="63">
        <v>4684781.0</v>
      </c>
      <c r="J30" s="64"/>
      <c r="K30" s="64"/>
      <c r="L30" s="65">
        <f t="shared" ref="L30:L33" si="6">I30</f>
        <v>4684781</v>
      </c>
      <c r="M30" s="66">
        <f t="shared" si="2"/>
        <v>9</v>
      </c>
      <c r="N30" s="69" t="s">
        <v>222</v>
      </c>
      <c r="O30" s="46" t="s">
        <v>116</v>
      </c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</row>
    <row r="31" ht="15.75" customHeight="1">
      <c r="A31" s="59"/>
      <c r="B31" s="60" t="s">
        <v>117</v>
      </c>
      <c r="C31" s="72" t="s">
        <v>223</v>
      </c>
      <c r="D31" s="73"/>
      <c r="E31" s="70" t="s">
        <v>224</v>
      </c>
      <c r="F31" s="73"/>
      <c r="G31" s="74">
        <v>45915.0</v>
      </c>
      <c r="H31" s="59"/>
      <c r="I31" s="63">
        <v>53380.0</v>
      </c>
      <c r="J31" s="64"/>
      <c r="K31" s="64"/>
      <c r="L31" s="82">
        <f t="shared" si="6"/>
        <v>53380</v>
      </c>
      <c r="M31" s="66">
        <f t="shared" si="2"/>
        <v>9</v>
      </c>
      <c r="N31" s="69" t="s">
        <v>225</v>
      </c>
      <c r="O31" s="46" t="s">
        <v>116</v>
      </c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</row>
    <row r="32" ht="15.75" customHeight="1">
      <c r="A32" s="59"/>
      <c r="B32" s="60" t="s">
        <v>117</v>
      </c>
      <c r="C32" s="72" t="s">
        <v>226</v>
      </c>
      <c r="D32" s="73"/>
      <c r="E32" s="70" t="s">
        <v>227</v>
      </c>
      <c r="F32" s="73"/>
      <c r="G32" s="74">
        <v>45916.0</v>
      </c>
      <c r="H32" s="59"/>
      <c r="I32" s="63">
        <v>1277500.0</v>
      </c>
      <c r="J32" s="64"/>
      <c r="K32" s="64"/>
      <c r="L32" s="76">
        <f t="shared" si="6"/>
        <v>1277500</v>
      </c>
      <c r="M32" s="66">
        <f t="shared" si="2"/>
        <v>9</v>
      </c>
      <c r="N32" s="69" t="s">
        <v>228</v>
      </c>
      <c r="O32" s="46" t="s">
        <v>116</v>
      </c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</row>
    <row r="33" ht="15.75" customHeight="1">
      <c r="A33" s="59"/>
      <c r="B33" s="60" t="s">
        <v>117</v>
      </c>
      <c r="C33" s="72" t="s">
        <v>229</v>
      </c>
      <c r="D33" s="73"/>
      <c r="E33" s="70" t="s">
        <v>230</v>
      </c>
      <c r="F33" s="73"/>
      <c r="G33" s="74">
        <v>45917.0</v>
      </c>
      <c r="H33" s="59"/>
      <c r="I33" s="63">
        <v>2676315.0</v>
      </c>
      <c r="J33" s="64"/>
      <c r="K33" s="64"/>
      <c r="L33" s="65">
        <f t="shared" si="6"/>
        <v>2676315</v>
      </c>
      <c r="M33" s="66">
        <f t="shared" si="2"/>
        <v>9</v>
      </c>
      <c r="N33" s="69" t="s">
        <v>231</v>
      </c>
      <c r="O33" s="46" t="s">
        <v>116</v>
      </c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</row>
    <row r="34" ht="15.75" customHeight="1">
      <c r="A34" s="59"/>
      <c r="B34" s="85" t="s">
        <v>117</v>
      </c>
      <c r="C34" s="86" t="s">
        <v>232</v>
      </c>
      <c r="D34" s="73"/>
      <c r="E34" s="70" t="s">
        <v>233</v>
      </c>
      <c r="F34" s="61"/>
      <c r="G34" s="74">
        <v>45925.0</v>
      </c>
      <c r="H34" s="59"/>
      <c r="I34" s="87">
        <v>1827490.0</v>
      </c>
      <c r="J34" s="65"/>
      <c r="K34" s="64"/>
      <c r="L34" s="63">
        <v>1827490.0</v>
      </c>
      <c r="M34" s="66">
        <f t="shared" si="2"/>
        <v>9</v>
      </c>
      <c r="N34" s="69" t="s">
        <v>234</v>
      </c>
      <c r="O34" s="46" t="s">
        <v>116</v>
      </c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</row>
    <row r="35" ht="15.75" customHeight="1">
      <c r="A35" s="59"/>
      <c r="B35" s="85" t="s">
        <v>117</v>
      </c>
      <c r="C35" s="86" t="s">
        <v>235</v>
      </c>
      <c r="D35" s="73"/>
      <c r="E35" s="70" t="s">
        <v>233</v>
      </c>
      <c r="F35" s="73"/>
      <c r="G35" s="74">
        <v>45925.0</v>
      </c>
      <c r="H35" s="59"/>
      <c r="I35" s="87">
        <v>937200.0</v>
      </c>
      <c r="J35" s="65"/>
      <c r="K35" s="64"/>
      <c r="L35" s="63">
        <v>937200.0</v>
      </c>
      <c r="M35" s="66">
        <f t="shared" si="2"/>
        <v>9</v>
      </c>
      <c r="N35" s="69" t="s">
        <v>236</v>
      </c>
      <c r="O35" s="46" t="s">
        <v>116</v>
      </c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</row>
    <row r="36" ht="15.75" customHeight="1">
      <c r="A36" s="59"/>
      <c r="B36" s="85" t="s">
        <v>117</v>
      </c>
      <c r="C36" s="86" t="s">
        <v>237</v>
      </c>
      <c r="D36" s="73"/>
      <c r="E36" s="70" t="s">
        <v>233</v>
      </c>
      <c r="F36" s="73"/>
      <c r="G36" s="74">
        <v>45925.0</v>
      </c>
      <c r="H36" s="59"/>
      <c r="I36" s="88">
        <v>480255.0</v>
      </c>
      <c r="J36" s="65"/>
      <c r="K36" s="64"/>
      <c r="L36" s="76">
        <v>480255.0</v>
      </c>
      <c r="M36" s="66">
        <f t="shared" si="2"/>
        <v>9</v>
      </c>
      <c r="N36" s="69" t="s">
        <v>238</v>
      </c>
      <c r="O36" s="46" t="s">
        <v>116</v>
      </c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</row>
    <row r="37" ht="15.75" customHeight="1">
      <c r="A37" s="59"/>
      <c r="B37" s="85" t="s">
        <v>117</v>
      </c>
      <c r="C37" s="86" t="s">
        <v>239</v>
      </c>
      <c r="D37" s="73"/>
      <c r="E37" s="70" t="s">
        <v>233</v>
      </c>
      <c r="F37" s="73"/>
      <c r="G37" s="74">
        <v>45925.0</v>
      </c>
      <c r="H37" s="59"/>
      <c r="I37" s="88">
        <v>798000.0</v>
      </c>
      <c r="J37" s="65"/>
      <c r="K37" s="64"/>
      <c r="L37" s="76">
        <v>798000.0</v>
      </c>
      <c r="M37" s="66">
        <f t="shared" si="2"/>
        <v>9</v>
      </c>
      <c r="N37" s="69" t="s">
        <v>240</v>
      </c>
      <c r="O37" s="46" t="s">
        <v>116</v>
      </c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</row>
    <row r="38" ht="15.75" customHeight="1">
      <c r="A38" s="59"/>
      <c r="B38" s="85" t="s">
        <v>117</v>
      </c>
      <c r="C38" s="86" t="s">
        <v>241</v>
      </c>
      <c r="D38" s="73"/>
      <c r="E38" s="70" t="s">
        <v>233</v>
      </c>
      <c r="F38" s="73"/>
      <c r="G38" s="74">
        <v>45925.0</v>
      </c>
      <c r="H38" s="59"/>
      <c r="I38" s="88">
        <v>493200.0</v>
      </c>
      <c r="J38" s="65"/>
      <c r="K38" s="64"/>
      <c r="L38" s="76">
        <v>493200.0</v>
      </c>
      <c r="M38" s="66">
        <f t="shared" si="2"/>
        <v>9</v>
      </c>
      <c r="N38" s="69" t="s">
        <v>242</v>
      </c>
      <c r="O38" s="46" t="s">
        <v>116</v>
      </c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</row>
    <row r="39" ht="15.75" customHeight="1">
      <c r="A39" s="59"/>
      <c r="B39" s="85" t="s">
        <v>117</v>
      </c>
      <c r="C39" s="86" t="s">
        <v>243</v>
      </c>
      <c r="D39" s="73"/>
      <c r="E39" s="70" t="s">
        <v>233</v>
      </c>
      <c r="F39" s="73"/>
      <c r="G39" s="74">
        <v>45925.0</v>
      </c>
      <c r="H39" s="59"/>
      <c r="I39" s="88">
        <v>622900.0</v>
      </c>
      <c r="J39" s="65"/>
      <c r="K39" s="64"/>
      <c r="L39" s="76">
        <v>622900.0</v>
      </c>
      <c r="M39" s="66">
        <f t="shared" si="2"/>
        <v>9</v>
      </c>
      <c r="N39" s="69" t="s">
        <v>244</v>
      </c>
      <c r="O39" s="46" t="s">
        <v>116</v>
      </c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</row>
    <row r="40" ht="15.75" customHeight="1">
      <c r="A40" s="59"/>
      <c r="B40" s="85" t="s">
        <v>117</v>
      </c>
      <c r="C40" s="86" t="s">
        <v>245</v>
      </c>
      <c r="D40" s="73"/>
      <c r="E40" s="70" t="s">
        <v>233</v>
      </c>
      <c r="F40" s="73"/>
      <c r="G40" s="74">
        <v>45925.0</v>
      </c>
      <c r="H40" s="59"/>
      <c r="I40" s="88">
        <v>432000.0</v>
      </c>
      <c r="J40" s="65"/>
      <c r="K40" s="64"/>
      <c r="L40" s="76">
        <v>432000.0</v>
      </c>
      <c r="M40" s="66">
        <f t="shared" si="2"/>
        <v>9</v>
      </c>
      <c r="N40" s="69" t="s">
        <v>246</v>
      </c>
      <c r="O40" s="46" t="s">
        <v>116</v>
      </c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</row>
    <row r="41" ht="15.75" customHeight="1">
      <c r="A41" s="59"/>
      <c r="B41" s="85" t="s">
        <v>117</v>
      </c>
      <c r="C41" s="86" t="s">
        <v>247</v>
      </c>
      <c r="D41" s="73"/>
      <c r="E41" s="70" t="s">
        <v>233</v>
      </c>
      <c r="F41" s="73"/>
      <c r="G41" s="74">
        <v>45925.0</v>
      </c>
      <c r="H41" s="59"/>
      <c r="I41" s="88">
        <v>601325.0</v>
      </c>
      <c r="J41" s="64"/>
      <c r="K41" s="64"/>
      <c r="L41" s="76">
        <v>601325.0</v>
      </c>
      <c r="M41" s="66">
        <f t="shared" si="2"/>
        <v>9</v>
      </c>
      <c r="N41" s="69" t="s">
        <v>248</v>
      </c>
      <c r="O41" s="46" t="s">
        <v>116</v>
      </c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</row>
    <row r="42" ht="15.75" customHeight="1">
      <c r="A42" s="59"/>
      <c r="B42" s="85" t="s">
        <v>249</v>
      </c>
      <c r="C42" s="72" t="s">
        <v>250</v>
      </c>
      <c r="D42" s="73"/>
      <c r="E42" s="70" t="s">
        <v>251</v>
      </c>
      <c r="F42" s="70" t="s">
        <v>252</v>
      </c>
      <c r="G42" s="74">
        <v>45918.0</v>
      </c>
      <c r="H42" s="59"/>
      <c r="I42" s="76">
        <v>4560811.0</v>
      </c>
      <c r="J42" s="79">
        <v>501689.0</v>
      </c>
      <c r="K42" s="64"/>
      <c r="L42" s="65">
        <f t="shared" ref="L42:L43" si="7">I42+J42</f>
        <v>5062500</v>
      </c>
      <c r="M42" s="66">
        <f t="shared" si="2"/>
        <v>9</v>
      </c>
      <c r="N42" s="69" t="s">
        <v>253</v>
      </c>
      <c r="O42" s="46" t="s">
        <v>116</v>
      </c>
      <c r="P42" s="69" t="s">
        <v>254</v>
      </c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</row>
    <row r="43" ht="15.75" customHeight="1">
      <c r="A43" s="59"/>
      <c r="B43" s="85" t="s">
        <v>255</v>
      </c>
      <c r="C43" s="72" t="s">
        <v>256</v>
      </c>
      <c r="D43" s="73"/>
      <c r="E43" s="70" t="s">
        <v>257</v>
      </c>
      <c r="F43" s="70" t="s">
        <v>258</v>
      </c>
      <c r="G43" s="74">
        <v>45925.0</v>
      </c>
      <c r="H43" s="59"/>
      <c r="I43" s="76">
        <v>4375000.0</v>
      </c>
      <c r="J43" s="79">
        <v>481250.0</v>
      </c>
      <c r="K43" s="64"/>
      <c r="L43" s="65">
        <f t="shared" si="7"/>
        <v>4856250</v>
      </c>
      <c r="M43" s="66">
        <f t="shared" si="2"/>
        <v>9</v>
      </c>
      <c r="N43" s="69" t="s">
        <v>259</v>
      </c>
      <c r="O43" s="46" t="s">
        <v>116</v>
      </c>
      <c r="P43" s="48"/>
      <c r="Q43" s="83">
        <v>1711712.0</v>
      </c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</row>
    <row r="44" ht="15.75" customHeight="1">
      <c r="A44" s="59"/>
      <c r="B44" s="85" t="s">
        <v>117</v>
      </c>
      <c r="C44" s="86" t="s">
        <v>260</v>
      </c>
      <c r="D44" s="73"/>
      <c r="E44" s="70" t="s">
        <v>233</v>
      </c>
      <c r="F44" s="73"/>
      <c r="G44" s="74">
        <v>45925.0</v>
      </c>
      <c r="H44" s="59"/>
      <c r="I44" s="76">
        <v>413664.0</v>
      </c>
      <c r="J44" s="65"/>
      <c r="K44" s="64"/>
      <c r="L44" s="76">
        <v>413664.0</v>
      </c>
      <c r="M44" s="66">
        <f t="shared" si="2"/>
        <v>9</v>
      </c>
      <c r="N44" s="69" t="s">
        <v>261</v>
      </c>
      <c r="O44" s="46" t="s">
        <v>116</v>
      </c>
      <c r="P44" s="48"/>
      <c r="Q44" s="83">
        <v>29730.0</v>
      </c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</row>
    <row r="45" ht="15.75" customHeight="1">
      <c r="A45" s="59"/>
      <c r="B45" s="85" t="s">
        <v>117</v>
      </c>
      <c r="C45" s="86" t="s">
        <v>262</v>
      </c>
      <c r="D45" s="73"/>
      <c r="E45" s="70" t="s">
        <v>233</v>
      </c>
      <c r="F45" s="73"/>
      <c r="G45" s="74">
        <v>45925.0</v>
      </c>
      <c r="H45" s="59"/>
      <c r="I45" s="76">
        <v>378500.0</v>
      </c>
      <c r="J45" s="65"/>
      <c r="K45" s="65"/>
      <c r="L45" s="76">
        <v>378500.0</v>
      </c>
      <c r="M45" s="66">
        <f t="shared" si="2"/>
        <v>9</v>
      </c>
      <c r="N45" s="69" t="s">
        <v>263</v>
      </c>
      <c r="O45" s="46" t="s">
        <v>116</v>
      </c>
      <c r="P45" s="48"/>
      <c r="Q45" s="83">
        <v>2852468.0</v>
      </c>
      <c r="R45" s="48"/>
      <c r="S45" s="83">
        <v>980000.0</v>
      </c>
      <c r="T45" s="84">
        <f>S45*25</f>
        <v>24500000</v>
      </c>
      <c r="U45" s="48"/>
      <c r="V45" s="48"/>
      <c r="W45" s="48"/>
      <c r="X45" s="48"/>
      <c r="Y45" s="48"/>
      <c r="Z45" s="48"/>
      <c r="AA45" s="48"/>
      <c r="AB45" s="48"/>
    </row>
    <row r="46" ht="15.75" customHeight="1">
      <c r="A46" s="89"/>
      <c r="B46" s="85" t="s">
        <v>117</v>
      </c>
      <c r="C46" s="86" t="s">
        <v>264</v>
      </c>
      <c r="D46" s="90"/>
      <c r="E46" s="70" t="s">
        <v>233</v>
      </c>
      <c r="F46" s="73"/>
      <c r="G46" s="74">
        <v>45925.0</v>
      </c>
      <c r="H46" s="89"/>
      <c r="I46" s="76">
        <v>436963.0</v>
      </c>
      <c r="J46" s="64"/>
      <c r="K46" s="64"/>
      <c r="L46" s="76">
        <v>436963.0</v>
      </c>
      <c r="M46" s="66">
        <f t="shared" si="2"/>
        <v>9</v>
      </c>
      <c r="N46" s="69" t="s">
        <v>265</v>
      </c>
      <c r="O46" s="46" t="s">
        <v>116</v>
      </c>
      <c r="P46" s="48"/>
      <c r="Q46" s="84">
        <f>sum(Q43:Q45)</f>
        <v>4593910</v>
      </c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</row>
    <row r="47" ht="15.75" customHeight="1">
      <c r="A47" s="89"/>
      <c r="B47" s="85" t="s">
        <v>117</v>
      </c>
      <c r="C47" s="86" t="s">
        <v>266</v>
      </c>
      <c r="D47" s="90"/>
      <c r="E47" s="70" t="s">
        <v>233</v>
      </c>
      <c r="F47" s="73"/>
      <c r="G47" s="74">
        <v>45925.0</v>
      </c>
      <c r="H47" s="89"/>
      <c r="I47" s="76">
        <v>565800.0</v>
      </c>
      <c r="J47" s="65"/>
      <c r="K47" s="64"/>
      <c r="L47" s="76">
        <v>565800.0</v>
      </c>
      <c r="M47" s="66">
        <f t="shared" si="2"/>
        <v>9</v>
      </c>
      <c r="N47" s="69" t="s">
        <v>267</v>
      </c>
      <c r="O47" s="46" t="s">
        <v>116</v>
      </c>
      <c r="P47" s="48"/>
      <c r="Q47" s="84">
        <f>Q46-I43</f>
        <v>218910</v>
      </c>
      <c r="R47" s="48"/>
      <c r="S47" s="84"/>
      <c r="T47" s="48"/>
      <c r="U47" s="48"/>
      <c r="V47" s="48"/>
      <c r="W47" s="48"/>
      <c r="X47" s="48"/>
      <c r="Y47" s="48"/>
      <c r="Z47" s="48"/>
      <c r="AA47" s="48"/>
      <c r="AB47" s="48"/>
    </row>
    <row r="48" ht="15.75" customHeight="1">
      <c r="A48" s="89"/>
      <c r="B48" s="85" t="s">
        <v>117</v>
      </c>
      <c r="C48" s="86" t="s">
        <v>268</v>
      </c>
      <c r="D48" s="75"/>
      <c r="E48" s="70" t="s">
        <v>233</v>
      </c>
      <c r="F48" s="75"/>
      <c r="G48" s="74">
        <v>45925.0</v>
      </c>
      <c r="H48" s="89"/>
      <c r="I48" s="76">
        <v>509557.0</v>
      </c>
      <c r="J48" s="65"/>
      <c r="K48" s="64"/>
      <c r="L48" s="76">
        <v>509557.0</v>
      </c>
      <c r="M48" s="66">
        <f t="shared" si="2"/>
        <v>9</v>
      </c>
      <c r="N48" s="69" t="s">
        <v>269</v>
      </c>
      <c r="O48" s="46" t="s">
        <v>116</v>
      </c>
      <c r="P48" s="48"/>
      <c r="Q48" s="48"/>
      <c r="V48" s="48"/>
      <c r="W48" s="48"/>
      <c r="X48" s="48"/>
      <c r="Y48" s="48"/>
      <c r="Z48" s="48"/>
      <c r="AA48" s="48"/>
      <c r="AB48" s="48"/>
    </row>
    <row r="49" ht="15.75" customHeight="1">
      <c r="A49" s="89"/>
      <c r="B49" s="85" t="s">
        <v>117</v>
      </c>
      <c r="C49" s="86" t="s">
        <v>270</v>
      </c>
      <c r="D49" s="91"/>
      <c r="E49" s="70" t="s">
        <v>233</v>
      </c>
      <c r="F49" s="75"/>
      <c r="G49" s="74">
        <v>45925.0</v>
      </c>
      <c r="H49" s="89"/>
      <c r="I49" s="76">
        <v>710160.0</v>
      </c>
      <c r="J49" s="65"/>
      <c r="K49" s="64"/>
      <c r="L49" s="76">
        <v>710160.0</v>
      </c>
      <c r="M49" s="66">
        <f t="shared" si="2"/>
        <v>9</v>
      </c>
      <c r="N49" s="69" t="s">
        <v>271</v>
      </c>
      <c r="O49" s="46" t="s">
        <v>116</v>
      </c>
      <c r="P49" s="48"/>
      <c r="Q49" s="48"/>
      <c r="R49" s="10" t="s">
        <v>272</v>
      </c>
      <c r="S49" s="10" t="s">
        <v>273</v>
      </c>
      <c r="T49" s="10" t="s">
        <v>274</v>
      </c>
      <c r="U49" s="10" t="s">
        <v>275</v>
      </c>
      <c r="V49" s="10" t="s">
        <v>276</v>
      </c>
      <c r="W49" s="10" t="s">
        <v>277</v>
      </c>
      <c r="X49" s="46" t="s">
        <v>278</v>
      </c>
      <c r="Y49" s="10" t="s">
        <v>276</v>
      </c>
      <c r="Z49" s="48"/>
      <c r="AA49" s="48"/>
      <c r="AB49" s="48"/>
    </row>
    <row r="50" ht="15.75" customHeight="1">
      <c r="A50" s="89"/>
      <c r="B50" s="92" t="s">
        <v>117</v>
      </c>
      <c r="C50" s="93" t="s">
        <v>279</v>
      </c>
      <c r="D50" s="91"/>
      <c r="E50" s="70" t="s">
        <v>280</v>
      </c>
      <c r="F50" s="61"/>
      <c r="G50" s="94">
        <v>45930.0</v>
      </c>
      <c r="H50" s="89"/>
      <c r="I50" s="76">
        <v>356981.0</v>
      </c>
      <c r="J50" s="65"/>
      <c r="K50" s="64"/>
      <c r="L50" s="76">
        <v>356981.0</v>
      </c>
      <c r="M50" s="66">
        <f t="shared" si="2"/>
        <v>9</v>
      </c>
      <c r="N50" s="69" t="s">
        <v>281</v>
      </c>
      <c r="O50" s="46" t="s">
        <v>116</v>
      </c>
      <c r="P50" s="48"/>
      <c r="Q50" s="48"/>
      <c r="R50" s="46" t="s">
        <v>282</v>
      </c>
      <c r="S50" s="10" t="s">
        <v>283</v>
      </c>
      <c r="T50" s="10">
        <v>5.0</v>
      </c>
      <c r="U50" s="83">
        <v>1900000.0</v>
      </c>
      <c r="V50" s="84">
        <f t="shared" ref="V50:V52" si="8">U50*11%</f>
        <v>209000</v>
      </c>
      <c r="W50" s="46">
        <v>125.0</v>
      </c>
      <c r="X50" s="83">
        <v>4375000.0</v>
      </c>
      <c r="Y50" s="84">
        <f>X50*11%</f>
        <v>481250</v>
      </c>
      <c r="Z50" s="84">
        <f>T50*U50</f>
        <v>9500000</v>
      </c>
      <c r="AA50" s="84">
        <f>Z50-X50</f>
        <v>5125000</v>
      </c>
      <c r="AB50" s="48"/>
    </row>
    <row r="51" ht="15.75" customHeight="1">
      <c r="A51" s="89"/>
      <c r="B51" s="92" t="s">
        <v>117</v>
      </c>
      <c r="C51" s="93" t="s">
        <v>284</v>
      </c>
      <c r="D51" s="90"/>
      <c r="E51" s="70" t="s">
        <v>280</v>
      </c>
      <c r="F51" s="73"/>
      <c r="G51" s="94">
        <v>45930.0</v>
      </c>
      <c r="H51" s="89"/>
      <c r="I51" s="76">
        <v>1255860.0</v>
      </c>
      <c r="J51" s="65"/>
      <c r="K51" s="64"/>
      <c r="L51" s="76">
        <v>1255860.0</v>
      </c>
      <c r="M51" s="66">
        <f t="shared" si="2"/>
        <v>9</v>
      </c>
      <c r="N51" s="69" t="s">
        <v>285</v>
      </c>
      <c r="O51" s="46" t="s">
        <v>116</v>
      </c>
      <c r="P51" s="48"/>
      <c r="Q51" s="48"/>
      <c r="R51" s="46" t="s">
        <v>286</v>
      </c>
      <c r="S51" s="10" t="s">
        <v>287</v>
      </c>
      <c r="T51" s="10">
        <v>10.0</v>
      </c>
      <c r="U51" s="83">
        <v>33000.0</v>
      </c>
      <c r="V51" s="84">
        <f t="shared" si="8"/>
        <v>3630</v>
      </c>
      <c r="W51" s="48"/>
      <c r="X51" s="48"/>
      <c r="Y51" s="48"/>
      <c r="Z51" s="48"/>
      <c r="AA51" s="48"/>
      <c r="AB51" s="48"/>
    </row>
    <row r="52" ht="15.75" customHeight="1">
      <c r="A52" s="89"/>
      <c r="B52" s="92" t="s">
        <v>117</v>
      </c>
      <c r="C52" s="93" t="s">
        <v>288</v>
      </c>
      <c r="D52" s="90"/>
      <c r="E52" s="70" t="s">
        <v>280</v>
      </c>
      <c r="F52" s="73"/>
      <c r="G52" s="94">
        <v>45930.0</v>
      </c>
      <c r="H52" s="89"/>
      <c r="I52" s="76">
        <v>912900.0</v>
      </c>
      <c r="J52" s="64"/>
      <c r="K52" s="64"/>
      <c r="L52" s="76">
        <v>912900.0</v>
      </c>
      <c r="M52" s="66">
        <f t="shared" si="2"/>
        <v>9</v>
      </c>
      <c r="N52" s="69" t="s">
        <v>289</v>
      </c>
      <c r="O52" s="46" t="s">
        <v>116</v>
      </c>
      <c r="P52" s="48"/>
      <c r="Q52" s="48"/>
      <c r="R52" s="46" t="s">
        <v>290</v>
      </c>
      <c r="S52" s="10" t="s">
        <v>291</v>
      </c>
      <c r="T52" s="10">
        <v>1.0</v>
      </c>
      <c r="U52" s="83">
        <v>3166240.0</v>
      </c>
      <c r="V52" s="84">
        <f t="shared" si="8"/>
        <v>348286.4</v>
      </c>
      <c r="W52" s="48"/>
      <c r="X52" s="48"/>
      <c r="Y52" s="48"/>
      <c r="Z52" s="48"/>
      <c r="AA52" s="48"/>
      <c r="AB52" s="48"/>
    </row>
    <row r="53" ht="15.75" customHeight="1">
      <c r="A53" s="89"/>
      <c r="B53" s="92" t="s">
        <v>292</v>
      </c>
      <c r="C53" s="93" t="s">
        <v>293</v>
      </c>
      <c r="D53" s="91"/>
      <c r="E53" s="91"/>
      <c r="F53" s="75"/>
      <c r="G53" s="94">
        <v>45919.0</v>
      </c>
      <c r="H53" s="89"/>
      <c r="I53" s="76">
        <v>780000.0</v>
      </c>
      <c r="J53" s="65"/>
      <c r="K53" s="65"/>
      <c r="L53" s="76">
        <v>780000.0</v>
      </c>
      <c r="M53" s="66">
        <f t="shared" si="2"/>
        <v>9</v>
      </c>
      <c r="N53" s="69" t="s">
        <v>294</v>
      </c>
      <c r="O53" s="46" t="s">
        <v>116</v>
      </c>
      <c r="P53" s="48"/>
      <c r="Q53" s="48"/>
      <c r="R53" s="95" t="s">
        <v>295</v>
      </c>
      <c r="U53" s="96">
        <f>sum(U50:U52)</f>
        <v>5099240</v>
      </c>
      <c r="V53" s="48"/>
      <c r="W53" s="84">
        <f>U53-V52</f>
        <v>4750953.6</v>
      </c>
      <c r="X53" s="48"/>
      <c r="Y53" s="48"/>
      <c r="Z53" s="48"/>
      <c r="AA53" s="48"/>
      <c r="AB53" s="48"/>
    </row>
    <row r="54" ht="15.75" customHeight="1">
      <c r="A54" s="89"/>
      <c r="B54" s="92" t="s">
        <v>292</v>
      </c>
      <c r="C54" s="93" t="s">
        <v>296</v>
      </c>
      <c r="D54" s="91"/>
      <c r="E54" s="91"/>
      <c r="F54" s="75"/>
      <c r="G54" s="94">
        <v>45919.0</v>
      </c>
      <c r="H54" s="89"/>
      <c r="I54" s="76">
        <v>500000.0</v>
      </c>
      <c r="J54" s="65"/>
      <c r="K54" s="64"/>
      <c r="L54" s="76">
        <v>500000.0</v>
      </c>
      <c r="M54" s="66">
        <f t="shared" si="2"/>
        <v>9</v>
      </c>
      <c r="N54" s="69" t="s">
        <v>296</v>
      </c>
      <c r="O54" s="46" t="s">
        <v>116</v>
      </c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</row>
    <row r="55" ht="15.75" customHeight="1">
      <c r="A55" s="97"/>
      <c r="B55" s="98" t="s">
        <v>123</v>
      </c>
      <c r="C55" s="99" t="s">
        <v>297</v>
      </c>
      <c r="D55" s="100"/>
      <c r="E55" s="101" t="s">
        <v>298</v>
      </c>
      <c r="F55" s="102" t="s">
        <v>299</v>
      </c>
      <c r="G55" s="103">
        <v>45911.0</v>
      </c>
      <c r="H55" s="97"/>
      <c r="I55" s="104">
        <v>2760901.0</v>
      </c>
      <c r="J55" s="104">
        <v>303699.0</v>
      </c>
      <c r="K55" s="105"/>
      <c r="L55" s="104">
        <f t="shared" ref="L55:L58" si="9">I55+J55</f>
        <v>3064600</v>
      </c>
      <c r="M55" s="106">
        <f t="shared" si="2"/>
        <v>9</v>
      </c>
      <c r="N55" s="101" t="s">
        <v>300</v>
      </c>
      <c r="O55" s="107" t="s">
        <v>116</v>
      </c>
      <c r="P55" s="101" t="s">
        <v>301</v>
      </c>
      <c r="Q55" s="10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</row>
    <row r="56" ht="15.75" customHeight="1">
      <c r="A56" s="89"/>
      <c r="B56" s="92" t="s">
        <v>302</v>
      </c>
      <c r="C56" s="93" t="s">
        <v>303</v>
      </c>
      <c r="D56" s="91"/>
      <c r="E56" s="70" t="s">
        <v>257</v>
      </c>
      <c r="F56" s="75"/>
      <c r="G56" s="94">
        <v>45926.0</v>
      </c>
      <c r="H56" s="89"/>
      <c r="I56" s="76">
        <v>1831351.0</v>
      </c>
      <c r="J56" s="76">
        <v>201449.0</v>
      </c>
      <c r="K56" s="64"/>
      <c r="L56" s="65">
        <f t="shared" si="9"/>
        <v>2032800</v>
      </c>
      <c r="M56" s="66">
        <f t="shared" si="2"/>
        <v>9</v>
      </c>
      <c r="N56" s="69" t="s">
        <v>304</v>
      </c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</row>
    <row r="57" ht="15.75" customHeight="1">
      <c r="A57" s="89"/>
      <c r="B57" s="92" t="s">
        <v>255</v>
      </c>
      <c r="C57" s="93" t="s">
        <v>305</v>
      </c>
      <c r="D57" s="91"/>
      <c r="E57" s="70" t="s">
        <v>257</v>
      </c>
      <c r="F57" s="75"/>
      <c r="G57" s="94">
        <v>45925.0</v>
      </c>
      <c r="H57" s="89"/>
      <c r="I57" s="76">
        <v>4375000.0</v>
      </c>
      <c r="J57" s="76">
        <v>481250.0</v>
      </c>
      <c r="K57" s="64"/>
      <c r="L57" s="65">
        <f t="shared" si="9"/>
        <v>4856250</v>
      </c>
      <c r="M57" s="66">
        <f t="shared" si="2"/>
        <v>9</v>
      </c>
      <c r="N57" s="69" t="s">
        <v>306</v>
      </c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</row>
    <row r="58" ht="15.75" customHeight="1">
      <c r="A58" s="89"/>
      <c r="B58" s="92" t="s">
        <v>307</v>
      </c>
      <c r="C58" s="93" t="s">
        <v>308</v>
      </c>
      <c r="D58" s="91"/>
      <c r="E58" s="70" t="s">
        <v>257</v>
      </c>
      <c r="F58" s="75"/>
      <c r="G58" s="94">
        <v>45925.0</v>
      </c>
      <c r="H58" s="89"/>
      <c r="I58" s="76">
        <v>567572.0</v>
      </c>
      <c r="J58" s="76">
        <v>62433.0</v>
      </c>
      <c r="K58" s="65"/>
      <c r="L58" s="65">
        <f t="shared" si="9"/>
        <v>630005</v>
      </c>
      <c r="M58" s="66">
        <f t="shared" si="2"/>
        <v>9</v>
      </c>
      <c r="N58" s="69" t="s">
        <v>309</v>
      </c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</row>
    <row r="59" ht="15.75" customHeight="1">
      <c r="A59" s="92"/>
      <c r="B59" s="92"/>
      <c r="C59" s="93"/>
      <c r="D59" s="91"/>
      <c r="E59" s="91"/>
      <c r="F59" s="75"/>
      <c r="G59" s="109"/>
      <c r="H59" s="89"/>
      <c r="I59" s="76"/>
      <c r="J59" s="64"/>
      <c r="K59" s="64"/>
      <c r="L59" s="76"/>
      <c r="M59" s="66"/>
      <c r="N59" s="46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</row>
    <row r="60" ht="15.75" customHeight="1">
      <c r="A60" s="89"/>
      <c r="B60" s="92" t="s">
        <v>310</v>
      </c>
      <c r="C60" s="93" t="s">
        <v>311</v>
      </c>
      <c r="D60" s="91"/>
      <c r="E60" s="110" t="s">
        <v>312</v>
      </c>
      <c r="F60" s="75"/>
      <c r="G60" s="94">
        <v>45937.0</v>
      </c>
      <c r="H60" s="89"/>
      <c r="I60" s="76">
        <v>2800000.0</v>
      </c>
      <c r="J60" s="64"/>
      <c r="K60" s="64"/>
      <c r="L60" s="76">
        <v>2800000.0</v>
      </c>
      <c r="M60" s="66">
        <f t="shared" ref="M60:M173" si="10">MONTH(G60)</f>
        <v>10</v>
      </c>
      <c r="N60" s="69" t="s">
        <v>313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</row>
    <row r="61" ht="15.75" customHeight="1">
      <c r="A61" s="89"/>
      <c r="B61" s="92" t="s">
        <v>117</v>
      </c>
      <c r="C61" s="93" t="s">
        <v>314</v>
      </c>
      <c r="D61" s="91"/>
      <c r="E61" s="110" t="s">
        <v>312</v>
      </c>
      <c r="F61" s="75"/>
      <c r="G61" s="94">
        <v>45937.0</v>
      </c>
      <c r="H61" s="89"/>
      <c r="I61" s="76">
        <v>394000.0</v>
      </c>
      <c r="J61" s="65"/>
      <c r="K61" s="64"/>
      <c r="L61" s="76">
        <v>394000.0</v>
      </c>
      <c r="M61" s="66">
        <f t="shared" si="10"/>
        <v>10</v>
      </c>
      <c r="N61" s="69" t="s">
        <v>315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</row>
    <row r="62" ht="15.75" customHeight="1">
      <c r="A62" s="89"/>
      <c r="B62" s="92" t="s">
        <v>117</v>
      </c>
      <c r="C62" s="93" t="s">
        <v>316</v>
      </c>
      <c r="D62" s="91"/>
      <c r="E62" s="110" t="s">
        <v>312</v>
      </c>
      <c r="F62" s="75"/>
      <c r="G62" s="94">
        <v>45937.0</v>
      </c>
      <c r="H62" s="89"/>
      <c r="I62" s="76">
        <v>527800.0</v>
      </c>
      <c r="J62" s="64"/>
      <c r="K62" s="64"/>
      <c r="L62" s="76">
        <v>527800.0</v>
      </c>
      <c r="M62" s="66">
        <f t="shared" si="10"/>
        <v>10</v>
      </c>
      <c r="N62" s="69" t="s">
        <v>317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</row>
    <row r="63" ht="15.75" customHeight="1">
      <c r="A63" s="89"/>
      <c r="B63" s="92" t="s">
        <v>132</v>
      </c>
      <c r="C63" s="93" t="s">
        <v>318</v>
      </c>
      <c r="D63" s="91"/>
      <c r="E63" s="110" t="s">
        <v>312</v>
      </c>
      <c r="F63" s="70" t="s">
        <v>319</v>
      </c>
      <c r="G63" s="94">
        <v>45936.0</v>
      </c>
      <c r="H63" s="92"/>
      <c r="I63" s="76">
        <v>1091992.0</v>
      </c>
      <c r="J63" s="76">
        <v>120119.0</v>
      </c>
      <c r="K63" s="76" t="s">
        <v>320</v>
      </c>
      <c r="L63" s="76">
        <f>I63+J63</f>
        <v>1212111</v>
      </c>
      <c r="M63" s="66">
        <f t="shared" si="10"/>
        <v>10</v>
      </c>
      <c r="N63" s="69" t="s">
        <v>321</v>
      </c>
      <c r="O63" s="48"/>
      <c r="P63" s="69" t="s">
        <v>322</v>
      </c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</row>
    <row r="64" ht="15.75" customHeight="1">
      <c r="A64" s="89"/>
      <c r="B64" s="92" t="s">
        <v>323</v>
      </c>
      <c r="C64" s="93" t="s">
        <v>324</v>
      </c>
      <c r="D64" s="91"/>
      <c r="E64" s="110" t="s">
        <v>325</v>
      </c>
      <c r="F64" s="70" t="s">
        <v>326</v>
      </c>
      <c r="G64" s="94">
        <v>45937.0</v>
      </c>
      <c r="H64" s="89"/>
      <c r="I64" s="76">
        <v>7005554.0</v>
      </c>
      <c r="J64" s="64"/>
      <c r="K64" s="64"/>
      <c r="L64" s="111">
        <v>7005554.0</v>
      </c>
      <c r="M64" s="66">
        <f t="shared" si="10"/>
        <v>10</v>
      </c>
      <c r="N64" s="69" t="s">
        <v>327</v>
      </c>
      <c r="O64" s="46" t="s">
        <v>116</v>
      </c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</row>
    <row r="65" ht="15.75" customHeight="1">
      <c r="A65" s="89"/>
      <c r="B65" s="92" t="s">
        <v>328</v>
      </c>
      <c r="C65" s="93" t="s">
        <v>329</v>
      </c>
      <c r="D65" s="91"/>
      <c r="E65" s="110" t="s">
        <v>325</v>
      </c>
      <c r="F65" s="75"/>
      <c r="G65" s="94">
        <v>45937.0</v>
      </c>
      <c r="H65" s="89"/>
      <c r="I65" s="76">
        <v>79108.0</v>
      </c>
      <c r="J65" s="65"/>
      <c r="K65" s="64"/>
      <c r="L65" s="111">
        <v>79108.0</v>
      </c>
      <c r="M65" s="66">
        <f t="shared" si="10"/>
        <v>10</v>
      </c>
      <c r="N65" s="69" t="s">
        <v>330</v>
      </c>
      <c r="O65" s="46" t="s">
        <v>116</v>
      </c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</row>
    <row r="66" ht="15.75" customHeight="1">
      <c r="A66" s="89"/>
      <c r="B66" s="92" t="s">
        <v>328</v>
      </c>
      <c r="C66" s="93" t="s">
        <v>331</v>
      </c>
      <c r="D66" s="91"/>
      <c r="E66" s="110" t="s">
        <v>325</v>
      </c>
      <c r="F66" s="75"/>
      <c r="G66" s="94">
        <v>45937.0</v>
      </c>
      <c r="H66" s="89"/>
      <c r="I66" s="76">
        <v>66990.0</v>
      </c>
      <c r="J66" s="65"/>
      <c r="K66" s="64"/>
      <c r="L66" s="111">
        <v>66990.0</v>
      </c>
      <c r="M66" s="66">
        <f t="shared" si="10"/>
        <v>10</v>
      </c>
      <c r="N66" s="69" t="s">
        <v>332</v>
      </c>
      <c r="O66" s="46" t="s">
        <v>116</v>
      </c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</row>
    <row r="67" ht="15.75" customHeight="1">
      <c r="A67" s="89"/>
      <c r="B67" s="92" t="s">
        <v>328</v>
      </c>
      <c r="C67" s="93" t="s">
        <v>333</v>
      </c>
      <c r="D67" s="91"/>
      <c r="E67" s="110" t="s">
        <v>325</v>
      </c>
      <c r="F67" s="75"/>
      <c r="G67" s="94">
        <v>45937.0</v>
      </c>
      <c r="H67" s="89"/>
      <c r="I67" s="76">
        <v>476400.0</v>
      </c>
      <c r="J67" s="65"/>
      <c r="K67" s="64"/>
      <c r="L67" s="111">
        <v>476400.0</v>
      </c>
      <c r="M67" s="66">
        <f t="shared" si="10"/>
        <v>10</v>
      </c>
      <c r="N67" s="69" t="s">
        <v>334</v>
      </c>
      <c r="O67" s="46" t="s">
        <v>116</v>
      </c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</row>
    <row r="68" ht="15.75" customHeight="1">
      <c r="A68" s="89"/>
      <c r="B68" s="89"/>
      <c r="C68" s="93" t="s">
        <v>335</v>
      </c>
      <c r="D68" s="91"/>
      <c r="E68" s="112"/>
      <c r="F68" s="46"/>
      <c r="G68" s="94">
        <v>45937.0</v>
      </c>
      <c r="H68" s="89"/>
      <c r="I68" s="76">
        <v>1788970.29</v>
      </c>
      <c r="J68" s="65"/>
      <c r="K68" s="64"/>
      <c r="L68" s="76">
        <v>1788970.29</v>
      </c>
      <c r="M68" s="66">
        <f t="shared" si="10"/>
        <v>10</v>
      </c>
      <c r="N68" s="48"/>
      <c r="O68" s="46" t="s">
        <v>116</v>
      </c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</row>
    <row r="69" ht="15.75" customHeight="1">
      <c r="A69" s="89"/>
      <c r="B69" s="92" t="s">
        <v>336</v>
      </c>
      <c r="C69" s="93" t="s">
        <v>337</v>
      </c>
      <c r="D69" s="91"/>
      <c r="E69" s="110" t="s">
        <v>338</v>
      </c>
      <c r="F69" s="75"/>
      <c r="G69" s="94">
        <v>45940.0</v>
      </c>
      <c r="H69" s="89"/>
      <c r="I69" s="76">
        <v>840000.0</v>
      </c>
      <c r="J69" s="76">
        <v>92400.0</v>
      </c>
      <c r="K69" s="64"/>
      <c r="L69" s="65">
        <f t="shared" ref="L69:L70" si="11">I69+J69</f>
        <v>932400</v>
      </c>
      <c r="M69" s="66">
        <f t="shared" si="10"/>
        <v>10</v>
      </c>
      <c r="N69" s="69" t="s">
        <v>339</v>
      </c>
      <c r="O69" s="46" t="s">
        <v>116</v>
      </c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</row>
    <row r="70" ht="15.75" customHeight="1">
      <c r="A70" s="89"/>
      <c r="B70" s="92" t="s">
        <v>307</v>
      </c>
      <c r="C70" s="93" t="s">
        <v>340</v>
      </c>
      <c r="D70" s="91"/>
      <c r="E70" s="110" t="s">
        <v>338</v>
      </c>
      <c r="F70" s="70" t="s">
        <v>341</v>
      </c>
      <c r="G70" s="94">
        <v>45938.0</v>
      </c>
      <c r="H70" s="89"/>
      <c r="I70" s="76">
        <v>306304.0</v>
      </c>
      <c r="J70" s="76">
        <v>33693.0</v>
      </c>
      <c r="K70" s="65"/>
      <c r="L70" s="65">
        <f t="shared" si="11"/>
        <v>339997</v>
      </c>
      <c r="M70" s="66">
        <f t="shared" si="10"/>
        <v>10</v>
      </c>
      <c r="N70" s="69" t="s">
        <v>342</v>
      </c>
      <c r="O70" s="46" t="s">
        <v>116</v>
      </c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</row>
    <row r="71" ht="15.75" customHeight="1">
      <c r="A71" s="89"/>
      <c r="B71" s="92" t="s">
        <v>117</v>
      </c>
      <c r="C71" s="93" t="s">
        <v>343</v>
      </c>
      <c r="D71" s="91"/>
      <c r="E71" s="110" t="s">
        <v>338</v>
      </c>
      <c r="F71" s="75"/>
      <c r="G71" s="94">
        <v>45938.0</v>
      </c>
      <c r="H71" s="89"/>
      <c r="I71" s="76">
        <v>21500.0</v>
      </c>
      <c r="J71" s="65"/>
      <c r="K71" s="65"/>
      <c r="L71" s="76">
        <v>21500.0</v>
      </c>
      <c r="M71" s="66">
        <f t="shared" si="10"/>
        <v>10</v>
      </c>
      <c r="N71" s="69" t="s">
        <v>344</v>
      </c>
      <c r="O71" s="46" t="s">
        <v>116</v>
      </c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</row>
    <row r="72" ht="15.75" customHeight="1">
      <c r="A72" s="89"/>
      <c r="B72" s="92" t="s">
        <v>345</v>
      </c>
      <c r="C72" s="93" t="s">
        <v>346</v>
      </c>
      <c r="D72" s="91"/>
      <c r="E72" s="110" t="s">
        <v>325</v>
      </c>
      <c r="F72" s="70" t="s">
        <v>347</v>
      </c>
      <c r="G72" s="94">
        <v>45940.0</v>
      </c>
      <c r="H72" s="91"/>
      <c r="I72" s="76">
        <v>1340090.0</v>
      </c>
      <c r="J72" s="79">
        <v>147409.0</v>
      </c>
      <c r="K72" s="64"/>
      <c r="L72" s="111">
        <f>I72+J72</f>
        <v>1487499</v>
      </c>
      <c r="M72" s="66">
        <f t="shared" si="10"/>
        <v>10</v>
      </c>
      <c r="N72" s="69" t="s">
        <v>348</v>
      </c>
      <c r="O72" s="46" t="s">
        <v>116</v>
      </c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</row>
    <row r="73" ht="15.75" customHeight="1">
      <c r="A73" s="89"/>
      <c r="B73" s="89"/>
      <c r="C73" s="93" t="s">
        <v>349</v>
      </c>
      <c r="D73" s="91"/>
      <c r="E73" s="70" t="s">
        <v>233</v>
      </c>
      <c r="F73" s="75"/>
      <c r="G73" s="94">
        <v>45938.0</v>
      </c>
      <c r="H73" s="91"/>
      <c r="I73" s="76">
        <v>1451916.0</v>
      </c>
      <c r="J73" s="64"/>
      <c r="K73" s="64"/>
      <c r="L73" s="76">
        <v>1451916.0</v>
      </c>
      <c r="M73" s="66">
        <f t="shared" si="10"/>
        <v>10</v>
      </c>
      <c r="N73" s="69" t="s">
        <v>350</v>
      </c>
      <c r="O73" s="46" t="s">
        <v>116</v>
      </c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</row>
    <row r="74" ht="15.75" customHeight="1">
      <c r="A74" s="89"/>
      <c r="B74" s="92" t="s">
        <v>351</v>
      </c>
      <c r="C74" s="93" t="s">
        <v>352</v>
      </c>
      <c r="D74" s="91"/>
      <c r="E74" s="110" t="s">
        <v>353</v>
      </c>
      <c r="F74" s="70" t="s">
        <v>354</v>
      </c>
      <c r="G74" s="94">
        <v>45940.0</v>
      </c>
      <c r="H74" s="91"/>
      <c r="I74" s="76">
        <v>1.15259E7</v>
      </c>
      <c r="J74" s="65"/>
      <c r="K74" s="65"/>
      <c r="L74" s="76">
        <v>1.15259E7</v>
      </c>
      <c r="M74" s="66">
        <f t="shared" si="10"/>
        <v>10</v>
      </c>
      <c r="N74" s="69" t="s">
        <v>355</v>
      </c>
      <c r="O74" s="46" t="s">
        <v>116</v>
      </c>
      <c r="P74" s="46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</row>
    <row r="75" ht="15.75" customHeight="1">
      <c r="A75" s="89"/>
      <c r="B75" s="92" t="s">
        <v>117</v>
      </c>
      <c r="C75" s="93" t="s">
        <v>356</v>
      </c>
      <c r="D75" s="91"/>
      <c r="E75" s="110" t="s">
        <v>357</v>
      </c>
      <c r="F75" s="75"/>
      <c r="G75" s="94">
        <v>45940.0</v>
      </c>
      <c r="H75" s="89"/>
      <c r="I75" s="76">
        <v>876000.0</v>
      </c>
      <c r="J75" s="65"/>
      <c r="K75" s="64"/>
      <c r="L75" s="76">
        <v>876000.0</v>
      </c>
      <c r="M75" s="66">
        <f t="shared" si="10"/>
        <v>10</v>
      </c>
      <c r="N75" s="69" t="s">
        <v>358</v>
      </c>
      <c r="O75" s="46" t="s">
        <v>116</v>
      </c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</row>
    <row r="76" ht="15.75" customHeight="1">
      <c r="A76" s="89"/>
      <c r="B76" s="92" t="s">
        <v>249</v>
      </c>
      <c r="C76" s="93" t="s">
        <v>359</v>
      </c>
      <c r="D76" s="91"/>
      <c r="E76" s="110" t="s">
        <v>360</v>
      </c>
      <c r="F76" s="70" t="s">
        <v>361</v>
      </c>
      <c r="G76" s="113"/>
      <c r="H76" s="92" t="s">
        <v>362</v>
      </c>
      <c r="I76" s="76">
        <v>5929000.0</v>
      </c>
      <c r="J76" s="65"/>
      <c r="K76" s="64"/>
      <c r="L76" s="76">
        <v>5929000.0</v>
      </c>
      <c r="M76" s="66">
        <f t="shared" si="10"/>
        <v>12</v>
      </c>
      <c r="N76" s="48"/>
      <c r="O76" s="46" t="s">
        <v>116</v>
      </c>
      <c r="P76" s="46" t="s">
        <v>363</v>
      </c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</row>
    <row r="77" ht="15.75" customHeight="1">
      <c r="A77" s="89"/>
      <c r="B77" s="92" t="s">
        <v>364</v>
      </c>
      <c r="C77" s="93" t="s">
        <v>365</v>
      </c>
      <c r="D77" s="114"/>
      <c r="E77" s="115" t="s">
        <v>366</v>
      </c>
      <c r="F77" s="115" t="s">
        <v>367</v>
      </c>
      <c r="G77" s="116">
        <v>45943.0</v>
      </c>
      <c r="H77" s="89"/>
      <c r="I77" s="79">
        <v>1.0074E7</v>
      </c>
      <c r="J77" s="79">
        <v>1108140.0</v>
      </c>
      <c r="K77" s="64"/>
      <c r="L77" s="64">
        <f>I77+J77</f>
        <v>11182140</v>
      </c>
      <c r="M77" s="66">
        <f t="shared" si="10"/>
        <v>10</v>
      </c>
      <c r="N77" s="69" t="s">
        <v>368</v>
      </c>
      <c r="O77" s="46" t="s">
        <v>116</v>
      </c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</row>
    <row r="78" ht="15.75" customHeight="1">
      <c r="A78" s="89"/>
      <c r="B78" s="92" t="s">
        <v>369</v>
      </c>
      <c r="C78" s="93" t="s">
        <v>370</v>
      </c>
      <c r="D78" s="114"/>
      <c r="E78" s="115" t="s">
        <v>366</v>
      </c>
      <c r="F78" s="115" t="s">
        <v>371</v>
      </c>
      <c r="G78" s="116">
        <v>45943.0</v>
      </c>
      <c r="H78" s="89"/>
      <c r="I78" s="79">
        <v>1994600.0</v>
      </c>
      <c r="J78" s="64"/>
      <c r="K78" s="64"/>
      <c r="L78" s="64">
        <f>I78</f>
        <v>1994600</v>
      </c>
      <c r="M78" s="66">
        <f t="shared" si="10"/>
        <v>10</v>
      </c>
      <c r="N78" s="69" t="s">
        <v>372</v>
      </c>
      <c r="O78" s="46" t="s">
        <v>116</v>
      </c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</row>
    <row r="79" ht="15.75" customHeight="1">
      <c r="A79" s="89"/>
      <c r="B79" s="92" t="s">
        <v>373</v>
      </c>
      <c r="C79" s="93" t="s">
        <v>374</v>
      </c>
      <c r="D79" s="114"/>
      <c r="E79" s="115" t="s">
        <v>366</v>
      </c>
      <c r="F79" s="115" t="s">
        <v>375</v>
      </c>
      <c r="G79" s="116">
        <v>45943.0</v>
      </c>
      <c r="H79" s="89"/>
      <c r="I79" s="79">
        <v>652000.0</v>
      </c>
      <c r="J79" s="79">
        <v>71720.0</v>
      </c>
      <c r="K79" s="64"/>
      <c r="L79" s="64">
        <f t="shared" ref="L79:L80" si="12">I79+J79</f>
        <v>723720</v>
      </c>
      <c r="M79" s="66">
        <f t="shared" si="10"/>
        <v>10</v>
      </c>
      <c r="N79" s="69" t="s">
        <v>376</v>
      </c>
      <c r="O79" s="46" t="s">
        <v>116</v>
      </c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</row>
    <row r="80" ht="15.75" customHeight="1">
      <c r="A80" s="89"/>
      <c r="B80" s="92" t="s">
        <v>307</v>
      </c>
      <c r="C80" s="93" t="s">
        <v>377</v>
      </c>
      <c r="D80" s="114"/>
      <c r="E80" s="115" t="s">
        <v>366</v>
      </c>
      <c r="F80" s="115" t="s">
        <v>378</v>
      </c>
      <c r="G80" s="116">
        <v>45943.0</v>
      </c>
      <c r="H80" s="89"/>
      <c r="I80" s="79">
        <v>5634862.0</v>
      </c>
      <c r="J80" s="79">
        <v>619835.0</v>
      </c>
      <c r="K80" s="64"/>
      <c r="L80" s="64">
        <f t="shared" si="12"/>
        <v>6254697</v>
      </c>
      <c r="M80" s="66">
        <f t="shared" si="10"/>
        <v>10</v>
      </c>
      <c r="N80" s="69" t="s">
        <v>379</v>
      </c>
      <c r="O80" s="46" t="s">
        <v>116</v>
      </c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</row>
    <row r="81" ht="15.75" customHeight="1">
      <c r="A81" s="89"/>
      <c r="B81" s="92" t="s">
        <v>328</v>
      </c>
      <c r="C81" s="93" t="s">
        <v>380</v>
      </c>
      <c r="D81" s="114"/>
      <c r="E81" s="115" t="s">
        <v>366</v>
      </c>
      <c r="F81" s="114"/>
      <c r="G81" s="116">
        <v>45943.0</v>
      </c>
      <c r="H81" s="89"/>
      <c r="I81" s="79">
        <v>80500.0</v>
      </c>
      <c r="J81" s="64"/>
      <c r="K81" s="64"/>
      <c r="L81" s="64">
        <f>I81</f>
        <v>80500</v>
      </c>
      <c r="M81" s="66">
        <f t="shared" si="10"/>
        <v>10</v>
      </c>
      <c r="N81" s="69" t="s">
        <v>381</v>
      </c>
      <c r="O81" s="46" t="s">
        <v>116</v>
      </c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</row>
    <row r="82" ht="15.75" customHeight="1">
      <c r="A82" s="89"/>
      <c r="B82" s="92" t="s">
        <v>328</v>
      </c>
      <c r="C82" s="93" t="s">
        <v>382</v>
      </c>
      <c r="D82" s="114"/>
      <c r="E82" s="115" t="s">
        <v>366</v>
      </c>
      <c r="F82" s="114"/>
      <c r="G82" s="116">
        <v>45943.0</v>
      </c>
      <c r="H82" s="89"/>
      <c r="I82" s="79">
        <v>676420.0</v>
      </c>
      <c r="J82" s="64"/>
      <c r="K82" s="64"/>
      <c r="L82" s="79">
        <v>676420.0</v>
      </c>
      <c r="M82" s="66">
        <f t="shared" si="10"/>
        <v>10</v>
      </c>
      <c r="N82" s="69" t="s">
        <v>383</v>
      </c>
      <c r="O82" s="46" t="s">
        <v>116</v>
      </c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</row>
    <row r="83" ht="15.75" customHeight="1">
      <c r="A83" s="89"/>
      <c r="B83" s="92" t="s">
        <v>328</v>
      </c>
      <c r="C83" s="93" t="s">
        <v>384</v>
      </c>
      <c r="D83" s="114"/>
      <c r="E83" s="115" t="s">
        <v>366</v>
      </c>
      <c r="F83" s="114"/>
      <c r="G83" s="116">
        <v>45943.0</v>
      </c>
      <c r="H83" s="89"/>
      <c r="I83" s="79">
        <v>32070.0</v>
      </c>
      <c r="J83" s="64"/>
      <c r="K83" s="64"/>
      <c r="L83" s="79">
        <v>32070.0</v>
      </c>
      <c r="M83" s="66">
        <f t="shared" si="10"/>
        <v>10</v>
      </c>
      <c r="N83" s="69" t="s">
        <v>385</v>
      </c>
      <c r="O83" s="46" t="s">
        <v>116</v>
      </c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</row>
    <row r="84" ht="15.75" customHeight="1">
      <c r="A84" s="89"/>
      <c r="B84" s="92" t="s">
        <v>328</v>
      </c>
      <c r="C84" s="93" t="s">
        <v>386</v>
      </c>
      <c r="D84" s="114"/>
      <c r="E84" s="115" t="s">
        <v>366</v>
      </c>
      <c r="F84" s="114"/>
      <c r="G84" s="116">
        <v>45943.0</v>
      </c>
      <c r="H84" s="89"/>
      <c r="I84" s="79">
        <v>218500.0</v>
      </c>
      <c r="J84" s="64"/>
      <c r="K84" s="64"/>
      <c r="L84" s="79">
        <v>218500.0</v>
      </c>
      <c r="M84" s="66">
        <f t="shared" si="10"/>
        <v>10</v>
      </c>
      <c r="N84" s="69" t="s">
        <v>387</v>
      </c>
      <c r="O84" s="46" t="s">
        <v>116</v>
      </c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</row>
    <row r="85" ht="15.75" customHeight="1">
      <c r="A85" s="89"/>
      <c r="B85" s="92" t="s">
        <v>328</v>
      </c>
      <c r="C85" s="93" t="s">
        <v>388</v>
      </c>
      <c r="D85" s="114"/>
      <c r="E85" s="115" t="s">
        <v>366</v>
      </c>
      <c r="F85" s="114"/>
      <c r="G85" s="116">
        <v>45943.0</v>
      </c>
      <c r="H85" s="89"/>
      <c r="I85" s="79">
        <v>81940.0</v>
      </c>
      <c r="J85" s="64"/>
      <c r="K85" s="64"/>
      <c r="L85" s="79">
        <v>81940.0</v>
      </c>
      <c r="M85" s="66">
        <f t="shared" si="10"/>
        <v>10</v>
      </c>
      <c r="N85" s="69" t="s">
        <v>389</v>
      </c>
      <c r="O85" s="46" t="s">
        <v>116</v>
      </c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</row>
    <row r="86" ht="15.75" customHeight="1">
      <c r="A86" s="89"/>
      <c r="B86" s="92" t="s">
        <v>390</v>
      </c>
      <c r="C86" s="93" t="s">
        <v>391</v>
      </c>
      <c r="D86" s="114"/>
      <c r="E86" s="115" t="s">
        <v>392</v>
      </c>
      <c r="F86" s="115" t="s">
        <v>393</v>
      </c>
      <c r="G86" s="117">
        <v>45931.0</v>
      </c>
      <c r="H86" s="92" t="s">
        <v>320</v>
      </c>
      <c r="I86" s="79">
        <v>3800676.0</v>
      </c>
      <c r="J86" s="79">
        <v>418074.0</v>
      </c>
      <c r="K86" s="64"/>
      <c r="L86" s="64">
        <f>I86+J86</f>
        <v>4218750</v>
      </c>
      <c r="M86" s="66">
        <f t="shared" si="10"/>
        <v>10</v>
      </c>
      <c r="N86" s="69" t="s">
        <v>394</v>
      </c>
      <c r="O86" s="46" t="s">
        <v>116</v>
      </c>
      <c r="P86" s="69" t="s">
        <v>395</v>
      </c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</row>
    <row r="87" ht="15.75" customHeight="1">
      <c r="A87" s="89"/>
      <c r="B87" s="92" t="s">
        <v>211</v>
      </c>
      <c r="C87" s="93" t="s">
        <v>396</v>
      </c>
      <c r="D87" s="114"/>
      <c r="E87" s="114"/>
      <c r="F87" s="114"/>
      <c r="G87" s="118"/>
      <c r="H87" s="89"/>
      <c r="I87" s="79">
        <v>679999.0</v>
      </c>
      <c r="J87" s="64"/>
      <c r="K87" s="64"/>
      <c r="L87" s="79">
        <v>679999.0</v>
      </c>
      <c r="M87" s="66">
        <f t="shared" si="10"/>
        <v>12</v>
      </c>
      <c r="N87" s="69" t="s">
        <v>397</v>
      </c>
      <c r="O87" s="46" t="s">
        <v>116</v>
      </c>
      <c r="P87" s="69" t="s">
        <v>398</v>
      </c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</row>
    <row r="88" ht="15.75" customHeight="1">
      <c r="A88" s="89"/>
      <c r="B88" s="92" t="s">
        <v>307</v>
      </c>
      <c r="C88" s="93" t="s">
        <v>399</v>
      </c>
      <c r="D88" s="114"/>
      <c r="E88" s="115" t="s">
        <v>400</v>
      </c>
      <c r="F88" s="115" t="s">
        <v>401</v>
      </c>
      <c r="G88" s="117">
        <v>45944.0</v>
      </c>
      <c r="H88" s="89"/>
      <c r="I88" s="79">
        <v>612640.0</v>
      </c>
      <c r="J88" s="79">
        <v>67390.0</v>
      </c>
      <c r="K88" s="64"/>
      <c r="L88" s="64">
        <f>I88+J88</f>
        <v>680030</v>
      </c>
      <c r="M88" s="66">
        <f t="shared" si="10"/>
        <v>10</v>
      </c>
      <c r="N88" s="69" t="s">
        <v>402</v>
      </c>
      <c r="O88" s="46" t="s">
        <v>116</v>
      </c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</row>
    <row r="89" ht="15.75" customHeight="1">
      <c r="A89" s="89"/>
      <c r="B89" s="92" t="s">
        <v>403</v>
      </c>
      <c r="C89" s="93" t="s">
        <v>296</v>
      </c>
      <c r="D89" s="114"/>
      <c r="E89" s="114"/>
      <c r="F89" s="114"/>
      <c r="G89" s="117">
        <v>45939.0</v>
      </c>
      <c r="H89" s="89"/>
      <c r="I89" s="79">
        <v>1000000.0</v>
      </c>
      <c r="J89" s="64"/>
      <c r="K89" s="64"/>
      <c r="L89" s="79">
        <v>1000000.0</v>
      </c>
      <c r="M89" s="66">
        <f t="shared" si="10"/>
        <v>10</v>
      </c>
      <c r="N89" s="69" t="s">
        <v>404</v>
      </c>
      <c r="O89" s="46" t="s">
        <v>116</v>
      </c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</row>
    <row r="90" ht="15.75" customHeight="1">
      <c r="A90" s="89"/>
      <c r="B90" s="92" t="s">
        <v>403</v>
      </c>
      <c r="C90" s="93" t="s">
        <v>296</v>
      </c>
      <c r="D90" s="114"/>
      <c r="E90" s="114"/>
      <c r="F90" s="114"/>
      <c r="G90" s="117">
        <v>45943.0</v>
      </c>
      <c r="H90" s="89"/>
      <c r="I90" s="79">
        <v>360000.0</v>
      </c>
      <c r="J90" s="64"/>
      <c r="K90" s="64"/>
      <c r="L90" s="79">
        <v>360000.0</v>
      </c>
      <c r="M90" s="66">
        <f t="shared" si="10"/>
        <v>10</v>
      </c>
      <c r="N90" s="69" t="s">
        <v>405</v>
      </c>
      <c r="O90" s="46" t="s">
        <v>116</v>
      </c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</row>
    <row r="91" ht="15.75" customHeight="1">
      <c r="A91" s="89"/>
      <c r="B91" s="92" t="s">
        <v>307</v>
      </c>
      <c r="C91" s="93" t="s">
        <v>406</v>
      </c>
      <c r="D91" s="114"/>
      <c r="E91" s="110" t="s">
        <v>338</v>
      </c>
      <c r="F91" s="115" t="s">
        <v>407</v>
      </c>
      <c r="G91" s="117">
        <v>45944.0</v>
      </c>
      <c r="H91" s="89"/>
      <c r="I91" s="79">
        <v>720721.0</v>
      </c>
      <c r="J91" s="79">
        <v>79279.0</v>
      </c>
      <c r="K91" s="64"/>
      <c r="L91" s="64">
        <f>I91+J91</f>
        <v>800000</v>
      </c>
      <c r="M91" s="66">
        <f t="shared" si="10"/>
        <v>10</v>
      </c>
      <c r="N91" s="69" t="s">
        <v>408</v>
      </c>
      <c r="O91" s="46" t="s">
        <v>116</v>
      </c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</row>
    <row r="92" ht="15.75" customHeight="1">
      <c r="A92" s="89"/>
      <c r="B92" s="92"/>
      <c r="C92" s="92" t="s">
        <v>409</v>
      </c>
      <c r="D92" s="114"/>
      <c r="E92" s="114"/>
      <c r="F92" s="114"/>
      <c r="G92" s="117">
        <v>45945.0</v>
      </c>
      <c r="H92" s="89"/>
      <c r="I92" s="79">
        <v>5710589.0</v>
      </c>
      <c r="J92" s="64"/>
      <c r="K92" s="64"/>
      <c r="L92" s="79">
        <v>5710589.0</v>
      </c>
      <c r="M92" s="66">
        <f t="shared" si="10"/>
        <v>10</v>
      </c>
      <c r="N92" s="69" t="s">
        <v>410</v>
      </c>
      <c r="O92" s="46" t="s">
        <v>116</v>
      </c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</row>
    <row r="93" ht="15.75" customHeight="1">
      <c r="A93" s="89"/>
      <c r="B93" s="114"/>
      <c r="C93" s="92" t="s">
        <v>411</v>
      </c>
      <c r="D93" s="114"/>
      <c r="E93" s="114"/>
      <c r="F93" s="114"/>
      <c r="G93" s="117">
        <v>45945.0</v>
      </c>
      <c r="H93" s="89"/>
      <c r="I93" s="79">
        <v>1000000.0</v>
      </c>
      <c r="J93" s="64"/>
      <c r="K93" s="64"/>
      <c r="L93" s="79">
        <v>1000000.0</v>
      </c>
      <c r="M93" s="66">
        <f t="shared" si="10"/>
        <v>10</v>
      </c>
      <c r="N93" s="69" t="s">
        <v>412</v>
      </c>
      <c r="O93" s="46" t="s">
        <v>116</v>
      </c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</row>
    <row r="94" ht="15.75" customHeight="1">
      <c r="A94" s="89"/>
      <c r="B94" s="114"/>
      <c r="C94" s="93" t="s">
        <v>413</v>
      </c>
      <c r="D94" s="114"/>
      <c r="E94" s="114"/>
      <c r="F94" s="114"/>
      <c r="G94" s="117">
        <v>45945.0</v>
      </c>
      <c r="H94" s="89"/>
      <c r="I94" s="79">
        <v>3000000.0</v>
      </c>
      <c r="J94" s="64"/>
      <c r="K94" s="64"/>
      <c r="L94" s="79">
        <v>3000000.0</v>
      </c>
      <c r="M94" s="66">
        <f t="shared" si="10"/>
        <v>10</v>
      </c>
      <c r="N94" s="69" t="s">
        <v>414</v>
      </c>
      <c r="O94" s="46" t="s">
        <v>116</v>
      </c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</row>
    <row r="95" ht="15.75" customHeight="1">
      <c r="A95" s="89"/>
      <c r="B95" s="92" t="s">
        <v>249</v>
      </c>
      <c r="C95" s="93" t="s">
        <v>415</v>
      </c>
      <c r="D95" s="114"/>
      <c r="E95" s="115" t="s">
        <v>416</v>
      </c>
      <c r="F95" s="115" t="s">
        <v>417</v>
      </c>
      <c r="G95" s="117">
        <v>45940.0</v>
      </c>
      <c r="H95" s="92" t="s">
        <v>320</v>
      </c>
      <c r="I95" s="64">
        <v>4560810.81081081</v>
      </c>
      <c r="J95" s="64">
        <f>I95*11%</f>
        <v>501689.1892</v>
      </c>
      <c r="K95" s="64"/>
      <c r="L95" s="79">
        <v>5062500.0</v>
      </c>
      <c r="M95" s="66">
        <f t="shared" si="10"/>
        <v>10</v>
      </c>
      <c r="N95" s="46" t="s">
        <v>320</v>
      </c>
      <c r="O95" s="46" t="s">
        <v>116</v>
      </c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</row>
    <row r="96" ht="15.75" customHeight="1">
      <c r="A96" s="89"/>
      <c r="B96" s="92" t="s">
        <v>249</v>
      </c>
      <c r="C96" s="93" t="s">
        <v>418</v>
      </c>
      <c r="D96" s="114"/>
      <c r="E96" s="115" t="s">
        <v>419</v>
      </c>
      <c r="F96" s="115" t="s">
        <v>420</v>
      </c>
      <c r="G96" s="117">
        <v>45946.0</v>
      </c>
      <c r="H96" s="92" t="s">
        <v>320</v>
      </c>
      <c r="I96" s="79">
        <v>6081081.0</v>
      </c>
      <c r="J96" s="79">
        <v>668919.0</v>
      </c>
      <c r="K96" s="64"/>
      <c r="L96" s="64">
        <f>I96+J96</f>
        <v>6750000</v>
      </c>
      <c r="M96" s="66">
        <f t="shared" si="10"/>
        <v>10</v>
      </c>
      <c r="N96" s="69" t="s">
        <v>421</v>
      </c>
      <c r="O96" s="46" t="s">
        <v>116</v>
      </c>
      <c r="P96" s="69" t="s">
        <v>422</v>
      </c>
      <c r="Q96" s="119">
        <v>45985.0</v>
      </c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</row>
    <row r="97" ht="15.75" customHeight="1">
      <c r="A97" s="89"/>
      <c r="B97" s="114"/>
      <c r="C97" s="93" t="s">
        <v>423</v>
      </c>
      <c r="D97" s="114"/>
      <c r="E97" s="114"/>
      <c r="F97" s="114"/>
      <c r="G97" s="117">
        <v>45946.0</v>
      </c>
      <c r="H97" s="89"/>
      <c r="I97" s="79">
        <v>300000.0</v>
      </c>
      <c r="J97" s="64"/>
      <c r="K97" s="64"/>
      <c r="L97" s="79">
        <v>300000.0</v>
      </c>
      <c r="M97" s="66">
        <f t="shared" si="10"/>
        <v>10</v>
      </c>
      <c r="N97" s="69" t="s">
        <v>424</v>
      </c>
      <c r="O97" s="46" t="s">
        <v>116</v>
      </c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</row>
    <row r="98" ht="15.75" customHeight="1">
      <c r="A98" s="89"/>
      <c r="B98" s="114"/>
      <c r="C98" s="93" t="s">
        <v>425</v>
      </c>
      <c r="D98" s="114"/>
      <c r="E98" s="114"/>
      <c r="F98" s="114"/>
      <c r="G98" s="117">
        <v>45946.0</v>
      </c>
      <c r="H98" s="89"/>
      <c r="I98" s="79">
        <v>500000.0</v>
      </c>
      <c r="J98" s="64"/>
      <c r="K98" s="64"/>
      <c r="L98" s="79">
        <v>500000.0</v>
      </c>
      <c r="M98" s="66">
        <f t="shared" si="10"/>
        <v>10</v>
      </c>
      <c r="N98" s="69" t="s">
        <v>426</v>
      </c>
      <c r="O98" s="46" t="s">
        <v>116</v>
      </c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</row>
    <row r="99" ht="15.75" customHeight="1">
      <c r="A99" s="89"/>
      <c r="B99" s="114"/>
      <c r="C99" s="93" t="s">
        <v>427</v>
      </c>
      <c r="D99" s="114"/>
      <c r="E99" s="115" t="s">
        <v>428</v>
      </c>
      <c r="F99" s="114"/>
      <c r="G99" s="117">
        <v>45947.0</v>
      </c>
      <c r="H99" s="89"/>
      <c r="I99" s="79">
        <v>328500.0</v>
      </c>
      <c r="J99" s="64"/>
      <c r="K99" s="64"/>
      <c r="L99" s="79">
        <v>328500.0</v>
      </c>
      <c r="M99" s="66">
        <f t="shared" si="10"/>
        <v>10</v>
      </c>
      <c r="N99" s="69" t="s">
        <v>429</v>
      </c>
      <c r="O99" s="46" t="s">
        <v>116</v>
      </c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</row>
    <row r="100" ht="15.75" customHeight="1">
      <c r="A100" s="89"/>
      <c r="B100" s="92" t="s">
        <v>430</v>
      </c>
      <c r="C100" s="93" t="s">
        <v>431</v>
      </c>
      <c r="D100" s="114"/>
      <c r="E100" s="120" t="s">
        <v>227</v>
      </c>
      <c r="F100" s="114"/>
      <c r="G100" s="121" t="s">
        <v>432</v>
      </c>
      <c r="H100" s="89"/>
      <c r="I100" s="79">
        <v>536250.0</v>
      </c>
      <c r="J100" s="79">
        <v>58988.0</v>
      </c>
      <c r="K100" s="64"/>
      <c r="L100" s="64">
        <f>I100+J100</f>
        <v>595238</v>
      </c>
      <c r="M100" s="66">
        <f t="shared" si="10"/>
        <v>10</v>
      </c>
      <c r="N100" s="69" t="s">
        <v>433</v>
      </c>
      <c r="O100" s="46" t="s">
        <v>116</v>
      </c>
      <c r="P100" s="69" t="s">
        <v>434</v>
      </c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</row>
    <row r="101" ht="15.75" customHeight="1">
      <c r="A101" s="89"/>
      <c r="B101" s="114"/>
      <c r="C101" s="93" t="s">
        <v>435</v>
      </c>
      <c r="D101" s="114"/>
      <c r="E101" s="114"/>
      <c r="F101" s="114"/>
      <c r="G101" s="121" t="s">
        <v>436</v>
      </c>
      <c r="H101" s="89"/>
      <c r="I101" s="79">
        <v>563000.0</v>
      </c>
      <c r="J101" s="64"/>
      <c r="K101" s="64"/>
      <c r="L101" s="79">
        <v>563000.0</v>
      </c>
      <c r="M101" s="66">
        <f t="shared" si="10"/>
        <v>10</v>
      </c>
      <c r="N101" s="69" t="s">
        <v>437</v>
      </c>
      <c r="O101" s="46" t="s">
        <v>116</v>
      </c>
      <c r="P101" s="46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</row>
    <row r="102" ht="15.75" customHeight="1">
      <c r="A102" s="89"/>
      <c r="B102" s="114"/>
      <c r="C102" s="122" t="s">
        <v>438</v>
      </c>
      <c r="D102" s="114"/>
      <c r="E102" s="115" t="s">
        <v>439</v>
      </c>
      <c r="F102" s="114"/>
      <c r="G102" s="123" t="s">
        <v>440</v>
      </c>
      <c r="H102" s="89"/>
      <c r="I102" s="79">
        <v>4266000.0</v>
      </c>
      <c r="J102" s="64"/>
      <c r="K102" s="64"/>
      <c r="L102" s="64">
        <f>I102</f>
        <v>4266000</v>
      </c>
      <c r="M102" s="66">
        <f t="shared" si="10"/>
        <v>10</v>
      </c>
      <c r="N102" s="69" t="s">
        <v>441</v>
      </c>
      <c r="O102" s="46" t="s">
        <v>116</v>
      </c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</row>
    <row r="103" ht="15.75" customHeight="1">
      <c r="A103" s="89"/>
      <c r="B103" s="92" t="s">
        <v>442</v>
      </c>
      <c r="C103" s="93" t="s">
        <v>443</v>
      </c>
      <c r="D103" s="114"/>
      <c r="E103" s="115" t="s">
        <v>444</v>
      </c>
      <c r="F103" s="115" t="s">
        <v>445</v>
      </c>
      <c r="G103" s="92" t="s">
        <v>446</v>
      </c>
      <c r="H103" s="89"/>
      <c r="I103" s="79">
        <v>936000.0</v>
      </c>
      <c r="J103" s="79">
        <v>102960.0</v>
      </c>
      <c r="K103" s="64"/>
      <c r="L103" s="64">
        <f t="shared" ref="L103:L104" si="13">I103+J103</f>
        <v>1038960</v>
      </c>
      <c r="M103" s="66">
        <f t="shared" si="10"/>
        <v>10</v>
      </c>
      <c r="N103" s="69" t="s">
        <v>447</v>
      </c>
      <c r="O103" s="46" t="s">
        <v>116</v>
      </c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</row>
    <row r="104" ht="15.75" customHeight="1">
      <c r="A104" s="89"/>
      <c r="B104" s="92" t="s">
        <v>307</v>
      </c>
      <c r="C104" s="93" t="s">
        <v>448</v>
      </c>
      <c r="D104" s="114"/>
      <c r="E104" s="115" t="s">
        <v>444</v>
      </c>
      <c r="F104" s="115" t="s">
        <v>449</v>
      </c>
      <c r="G104" s="92" t="s">
        <v>446</v>
      </c>
      <c r="H104" s="89"/>
      <c r="I104" s="79">
        <v>333334.0</v>
      </c>
      <c r="J104" s="79">
        <v>36667.0</v>
      </c>
      <c r="K104" s="64"/>
      <c r="L104" s="64">
        <f t="shared" si="13"/>
        <v>370001</v>
      </c>
      <c r="M104" s="66">
        <f t="shared" si="10"/>
        <v>10</v>
      </c>
      <c r="N104" s="69" t="s">
        <v>450</v>
      </c>
      <c r="O104" s="46" t="s">
        <v>116</v>
      </c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</row>
    <row r="105" ht="15.75" customHeight="1">
      <c r="A105" s="89"/>
      <c r="B105" s="92" t="s">
        <v>451</v>
      </c>
      <c r="C105" s="93" t="s">
        <v>452</v>
      </c>
      <c r="D105" s="114"/>
      <c r="E105" s="115" t="s">
        <v>444</v>
      </c>
      <c r="F105" s="115" t="s">
        <v>453</v>
      </c>
      <c r="G105" s="92" t="s">
        <v>446</v>
      </c>
      <c r="H105" s="89"/>
      <c r="I105" s="79">
        <v>455800.0</v>
      </c>
      <c r="J105" s="64"/>
      <c r="K105" s="64"/>
      <c r="L105" s="64">
        <f t="shared" ref="L105:L106" si="14">I105</f>
        <v>455800</v>
      </c>
      <c r="M105" s="66">
        <f t="shared" si="10"/>
        <v>10</v>
      </c>
      <c r="N105" s="69" t="s">
        <v>454</v>
      </c>
      <c r="O105" s="46" t="s">
        <v>116</v>
      </c>
      <c r="P105" s="69" t="s">
        <v>455</v>
      </c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</row>
    <row r="106" ht="15.75" customHeight="1">
      <c r="A106" s="89"/>
      <c r="B106" s="114"/>
      <c r="C106" s="93" t="s">
        <v>456</v>
      </c>
      <c r="D106" s="114"/>
      <c r="E106" s="114"/>
      <c r="F106" s="114"/>
      <c r="G106" s="92" t="s">
        <v>446</v>
      </c>
      <c r="H106" s="89"/>
      <c r="I106" s="79">
        <v>5000000.0</v>
      </c>
      <c r="J106" s="64"/>
      <c r="K106" s="64"/>
      <c r="L106" s="64">
        <f t="shared" si="14"/>
        <v>5000000</v>
      </c>
      <c r="M106" s="66">
        <f t="shared" si="10"/>
        <v>10</v>
      </c>
      <c r="N106" s="48"/>
      <c r="O106" s="46" t="s">
        <v>116</v>
      </c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</row>
    <row r="107" ht="15.75" customHeight="1">
      <c r="A107" s="89"/>
      <c r="B107" s="114"/>
      <c r="C107" s="93" t="s">
        <v>457</v>
      </c>
      <c r="D107" s="114"/>
      <c r="E107" s="114"/>
      <c r="F107" s="114"/>
      <c r="G107" s="92" t="s">
        <v>446</v>
      </c>
      <c r="H107" s="89"/>
      <c r="I107" s="79">
        <v>2500000.0</v>
      </c>
      <c r="J107" s="64"/>
      <c r="K107" s="64"/>
      <c r="L107" s="79">
        <v>2500000.0</v>
      </c>
      <c r="M107" s="66">
        <f t="shared" si="10"/>
        <v>10</v>
      </c>
      <c r="N107" s="69" t="s">
        <v>458</v>
      </c>
      <c r="O107" s="46" t="s">
        <v>116</v>
      </c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</row>
    <row r="108" ht="15.75" customHeight="1">
      <c r="A108" s="89"/>
      <c r="B108" s="114"/>
      <c r="C108" s="93" t="s">
        <v>459</v>
      </c>
      <c r="D108" s="114"/>
      <c r="E108" s="114"/>
      <c r="F108" s="114"/>
      <c r="G108" s="92" t="s">
        <v>460</v>
      </c>
      <c r="H108" s="89"/>
      <c r="I108" s="79">
        <v>1.3E7</v>
      </c>
      <c r="J108" s="64"/>
      <c r="K108" s="64"/>
      <c r="L108" s="64">
        <f>I108</f>
        <v>13000000</v>
      </c>
      <c r="M108" s="66">
        <f t="shared" si="10"/>
        <v>10</v>
      </c>
      <c r="N108" s="48"/>
      <c r="O108" s="46" t="s">
        <v>116</v>
      </c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</row>
    <row r="109" ht="15.75" customHeight="1">
      <c r="A109" s="89"/>
      <c r="B109" s="92" t="s">
        <v>461</v>
      </c>
      <c r="C109" s="93" t="s">
        <v>462</v>
      </c>
      <c r="D109" s="114"/>
      <c r="E109" s="115" t="s">
        <v>463</v>
      </c>
      <c r="F109" s="114"/>
      <c r="G109" s="92" t="s">
        <v>464</v>
      </c>
      <c r="H109" s="89"/>
      <c r="I109" s="79">
        <v>1.077175E7</v>
      </c>
      <c r="J109" s="79">
        <v>1184892.0</v>
      </c>
      <c r="K109" s="64"/>
      <c r="L109" s="64">
        <f t="shared" ref="L109:L111" si="15">I109+J109</f>
        <v>11956642</v>
      </c>
      <c r="M109" s="66" t="str">
        <f t="shared" si="10"/>
        <v>#VALUE!</v>
      </c>
      <c r="N109" s="69" t="s">
        <v>465</v>
      </c>
      <c r="O109" s="46" t="s">
        <v>116</v>
      </c>
      <c r="P109" s="46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</row>
    <row r="110" ht="15.75" customHeight="1">
      <c r="A110" s="89"/>
      <c r="B110" s="92" t="s">
        <v>466</v>
      </c>
      <c r="C110" s="93" t="s">
        <v>462</v>
      </c>
      <c r="D110" s="114"/>
      <c r="E110" s="115" t="s">
        <v>463</v>
      </c>
      <c r="F110" s="69" t="s">
        <v>467</v>
      </c>
      <c r="G110" s="92"/>
      <c r="H110" s="89"/>
      <c r="I110" s="79">
        <v>2.677464E7</v>
      </c>
      <c r="J110" s="79">
        <v>2945210.0</v>
      </c>
      <c r="K110" s="64"/>
      <c r="L110" s="64">
        <f t="shared" si="15"/>
        <v>29719850</v>
      </c>
      <c r="M110" s="66">
        <f t="shared" si="10"/>
        <v>12</v>
      </c>
      <c r="N110" s="124" t="s">
        <v>468</v>
      </c>
      <c r="O110" s="46" t="s">
        <v>116</v>
      </c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</row>
    <row r="111" ht="15.75" customHeight="1">
      <c r="A111" s="89"/>
      <c r="B111" s="92" t="s">
        <v>161</v>
      </c>
      <c r="C111" s="93" t="s">
        <v>462</v>
      </c>
      <c r="D111" s="114"/>
      <c r="E111" s="115" t="s">
        <v>463</v>
      </c>
      <c r="F111" s="69" t="s">
        <v>469</v>
      </c>
      <c r="G111" s="118"/>
      <c r="H111" s="92"/>
      <c r="I111" s="79">
        <v>1.871051E7</v>
      </c>
      <c r="J111" s="79">
        <v>2058156.0</v>
      </c>
      <c r="K111" s="64"/>
      <c r="L111" s="64">
        <f t="shared" si="15"/>
        <v>20768666</v>
      </c>
      <c r="M111" s="66">
        <f t="shared" si="10"/>
        <v>12</v>
      </c>
      <c r="N111" s="115" t="s">
        <v>470</v>
      </c>
      <c r="O111" s="46" t="s">
        <v>116</v>
      </c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</row>
    <row r="112" ht="15.75" customHeight="1">
      <c r="A112" s="89"/>
      <c r="B112" s="114"/>
      <c r="C112" s="93" t="s">
        <v>471</v>
      </c>
      <c r="D112" s="114"/>
      <c r="E112" s="114"/>
      <c r="F112" s="114"/>
      <c r="G112" s="118"/>
      <c r="H112" s="89"/>
      <c r="I112" s="79">
        <v>307500.0</v>
      </c>
      <c r="J112" s="64"/>
      <c r="K112" s="64"/>
      <c r="L112" s="64">
        <f t="shared" ref="L112:L114" si="16">I112</f>
        <v>307500</v>
      </c>
      <c r="M112" s="66">
        <f t="shared" si="10"/>
        <v>12</v>
      </c>
      <c r="N112" s="69" t="s">
        <v>472</v>
      </c>
      <c r="O112" s="46" t="s">
        <v>116</v>
      </c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</row>
    <row r="113" ht="15.75" customHeight="1">
      <c r="A113" s="89"/>
      <c r="B113" s="114"/>
      <c r="C113" s="93" t="s">
        <v>473</v>
      </c>
      <c r="D113" s="114"/>
      <c r="E113" s="114"/>
      <c r="F113" s="114"/>
      <c r="G113" s="118"/>
      <c r="H113" s="89"/>
      <c r="I113" s="79">
        <v>9831000.0</v>
      </c>
      <c r="J113" s="64"/>
      <c r="K113" s="64"/>
      <c r="L113" s="64">
        <f t="shared" si="16"/>
        <v>9831000</v>
      </c>
      <c r="M113" s="66">
        <f t="shared" si="10"/>
        <v>12</v>
      </c>
      <c r="N113" s="69" t="s">
        <v>474</v>
      </c>
      <c r="O113" s="46" t="s">
        <v>116</v>
      </c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</row>
    <row r="114" ht="15.75" customHeight="1">
      <c r="A114" s="89"/>
      <c r="B114" s="114"/>
      <c r="C114" s="93" t="s">
        <v>475</v>
      </c>
      <c r="D114" s="114"/>
      <c r="E114" s="114"/>
      <c r="F114" s="114"/>
      <c r="G114" s="118"/>
      <c r="H114" s="89"/>
      <c r="I114" s="79">
        <v>558640.0</v>
      </c>
      <c r="J114" s="64"/>
      <c r="K114" s="64"/>
      <c r="L114" s="64">
        <f t="shared" si="16"/>
        <v>558640</v>
      </c>
      <c r="M114" s="66">
        <f t="shared" si="10"/>
        <v>12</v>
      </c>
      <c r="N114" s="69" t="s">
        <v>476</v>
      </c>
      <c r="O114" s="46" t="s">
        <v>116</v>
      </c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</row>
    <row r="115" ht="15.75" customHeight="1">
      <c r="A115" s="89"/>
      <c r="B115" s="114"/>
      <c r="C115" s="93" t="s">
        <v>477</v>
      </c>
      <c r="D115" s="114"/>
      <c r="E115" s="114"/>
      <c r="F115" s="114"/>
      <c r="G115" s="118"/>
      <c r="H115" s="89"/>
      <c r="I115" s="79">
        <v>5000000.0</v>
      </c>
      <c r="J115" s="64"/>
      <c r="K115" s="64"/>
      <c r="L115" s="79">
        <v>5000000.0</v>
      </c>
      <c r="M115" s="66">
        <f t="shared" si="10"/>
        <v>12</v>
      </c>
      <c r="N115" s="48"/>
      <c r="O115" s="46" t="s">
        <v>116</v>
      </c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</row>
    <row r="116" ht="15.75" customHeight="1">
      <c r="A116" s="89"/>
      <c r="B116" s="114"/>
      <c r="C116" s="93" t="s">
        <v>478</v>
      </c>
      <c r="D116" s="114"/>
      <c r="E116" s="114"/>
      <c r="F116" s="114"/>
      <c r="G116" s="118"/>
      <c r="H116" s="89"/>
      <c r="I116" s="79">
        <v>8754812.0</v>
      </c>
      <c r="J116" s="64">
        <f>I116*11%</f>
        <v>963029.32</v>
      </c>
      <c r="K116" s="64">
        <f>-I116*2%</f>
        <v>-175096.24</v>
      </c>
      <c r="L116" s="64">
        <f>sum(I116:K116)</f>
        <v>9542745.08</v>
      </c>
      <c r="M116" s="66">
        <f t="shared" si="10"/>
        <v>12</v>
      </c>
      <c r="N116" s="69" t="s">
        <v>479</v>
      </c>
      <c r="O116" s="46" t="s">
        <v>116</v>
      </c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</row>
    <row r="117" ht="15.75" customHeight="1">
      <c r="A117" s="89"/>
      <c r="B117" s="114"/>
      <c r="C117" s="93" t="s">
        <v>480</v>
      </c>
      <c r="D117" s="114"/>
      <c r="E117" s="114"/>
      <c r="F117" s="114"/>
      <c r="G117" s="118"/>
      <c r="H117" s="89"/>
      <c r="I117" s="79">
        <v>6061114.0</v>
      </c>
      <c r="J117" s="64"/>
      <c r="K117" s="64"/>
      <c r="L117" s="64">
        <f>I117</f>
        <v>6061114</v>
      </c>
      <c r="M117" s="66">
        <f t="shared" si="10"/>
        <v>12</v>
      </c>
      <c r="N117" s="69" t="s">
        <v>481</v>
      </c>
      <c r="O117" s="46" t="s">
        <v>116</v>
      </c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</row>
    <row r="118" ht="15.75" customHeight="1">
      <c r="A118" s="89"/>
      <c r="B118" s="114"/>
      <c r="C118" s="93"/>
      <c r="D118" s="114"/>
      <c r="E118" s="92"/>
      <c r="F118" s="114"/>
      <c r="G118" s="118"/>
      <c r="H118" s="89"/>
      <c r="I118" s="64"/>
      <c r="J118" s="64"/>
      <c r="K118" s="64"/>
      <c r="L118" s="64"/>
      <c r="M118" s="66">
        <f t="shared" si="10"/>
        <v>12</v>
      </c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</row>
    <row r="119" ht="15.75" customHeight="1">
      <c r="A119" s="89"/>
      <c r="B119" s="114"/>
      <c r="C119" s="93" t="s">
        <v>482</v>
      </c>
      <c r="D119" s="114"/>
      <c r="E119" s="115" t="s">
        <v>483</v>
      </c>
      <c r="F119" s="114"/>
      <c r="G119" s="118"/>
      <c r="H119" s="89"/>
      <c r="I119" s="79">
        <v>275500.0</v>
      </c>
      <c r="J119" s="64"/>
      <c r="K119" s="64"/>
      <c r="L119" s="64">
        <f>I119</f>
        <v>275500</v>
      </c>
      <c r="M119" s="66">
        <f t="shared" si="10"/>
        <v>12</v>
      </c>
      <c r="N119" s="69" t="s">
        <v>484</v>
      </c>
      <c r="O119" s="46" t="s">
        <v>116</v>
      </c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</row>
    <row r="120" ht="15.75" customHeight="1">
      <c r="A120" s="89"/>
      <c r="B120" s="114"/>
      <c r="C120" s="93" t="s">
        <v>485</v>
      </c>
      <c r="D120" s="114"/>
      <c r="E120" s="115" t="s">
        <v>483</v>
      </c>
      <c r="F120" s="114"/>
      <c r="G120" s="118"/>
      <c r="H120" s="89"/>
      <c r="I120" s="79">
        <v>846464.0</v>
      </c>
      <c r="J120" s="64"/>
      <c r="K120" s="64"/>
      <c r="L120" s="79">
        <v>846464.0</v>
      </c>
      <c r="M120" s="66">
        <f t="shared" si="10"/>
        <v>12</v>
      </c>
      <c r="N120" s="69" t="s">
        <v>486</v>
      </c>
      <c r="O120" s="46" t="s">
        <v>116</v>
      </c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</row>
    <row r="121" ht="15.75" customHeight="1">
      <c r="A121" s="89"/>
      <c r="B121" s="114"/>
      <c r="C121" s="93" t="s">
        <v>487</v>
      </c>
      <c r="D121" s="114"/>
      <c r="E121" s="115" t="s">
        <v>483</v>
      </c>
      <c r="F121" s="114"/>
      <c r="G121" s="118"/>
      <c r="H121" s="89"/>
      <c r="I121" s="79">
        <v>95988.0</v>
      </c>
      <c r="J121" s="64"/>
      <c r="K121" s="64"/>
      <c r="L121" s="64">
        <f>I121</f>
        <v>95988</v>
      </c>
      <c r="M121" s="66">
        <f t="shared" si="10"/>
        <v>12</v>
      </c>
      <c r="N121" s="69" t="s">
        <v>488</v>
      </c>
      <c r="O121" s="46" t="s">
        <v>116</v>
      </c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</row>
    <row r="122" ht="15.75" customHeight="1">
      <c r="A122" s="89"/>
      <c r="B122" s="114"/>
      <c r="C122" s="93" t="s">
        <v>489</v>
      </c>
      <c r="D122" s="114"/>
      <c r="E122" s="115" t="s">
        <v>483</v>
      </c>
      <c r="F122" s="114"/>
      <c r="G122" s="118"/>
      <c r="H122" s="89"/>
      <c r="I122" s="79">
        <v>41700.0</v>
      </c>
      <c r="J122" s="64"/>
      <c r="K122" s="64"/>
      <c r="L122" s="79">
        <v>41700.0</v>
      </c>
      <c r="M122" s="66">
        <f t="shared" si="10"/>
        <v>12</v>
      </c>
      <c r="N122" s="69" t="s">
        <v>490</v>
      </c>
      <c r="O122" s="46" t="s">
        <v>116</v>
      </c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</row>
    <row r="123" ht="15.75" customHeight="1">
      <c r="A123" s="89"/>
      <c r="B123" s="114"/>
      <c r="C123" s="93" t="s">
        <v>491</v>
      </c>
      <c r="D123" s="114"/>
      <c r="E123" s="115" t="s">
        <v>483</v>
      </c>
      <c r="F123" s="114"/>
      <c r="G123" s="118"/>
      <c r="H123" s="89"/>
      <c r="I123" s="79">
        <v>312000.0</v>
      </c>
      <c r="J123" s="64"/>
      <c r="K123" s="64"/>
      <c r="L123" s="79">
        <v>312000.0</v>
      </c>
      <c r="M123" s="66">
        <f t="shared" si="10"/>
        <v>12</v>
      </c>
      <c r="N123" s="69" t="s">
        <v>492</v>
      </c>
      <c r="O123" s="46" t="s">
        <v>116</v>
      </c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</row>
    <row r="124" ht="15.75" customHeight="1">
      <c r="A124" s="89"/>
      <c r="B124" s="114"/>
      <c r="C124" s="93" t="s">
        <v>493</v>
      </c>
      <c r="D124" s="114"/>
      <c r="E124" s="115" t="s">
        <v>483</v>
      </c>
      <c r="F124" s="114"/>
      <c r="G124" s="118"/>
      <c r="H124" s="89"/>
      <c r="I124" s="79">
        <v>325838.0</v>
      </c>
      <c r="J124" s="64"/>
      <c r="K124" s="64"/>
      <c r="L124" s="79">
        <v>325838.0</v>
      </c>
      <c r="M124" s="66">
        <f t="shared" si="10"/>
        <v>12</v>
      </c>
      <c r="N124" s="69" t="s">
        <v>494</v>
      </c>
      <c r="O124" s="46" t="s">
        <v>116</v>
      </c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</row>
    <row r="125" ht="15.75" customHeight="1">
      <c r="A125" s="89"/>
      <c r="B125" s="114"/>
      <c r="C125" s="93" t="s">
        <v>495</v>
      </c>
      <c r="D125" s="114"/>
      <c r="E125" s="115" t="s">
        <v>483</v>
      </c>
      <c r="F125" s="114"/>
      <c r="G125" s="118"/>
      <c r="H125" s="89"/>
      <c r="I125" s="79">
        <v>153200.0</v>
      </c>
      <c r="J125" s="64"/>
      <c r="K125" s="64"/>
      <c r="L125" s="79">
        <v>153200.0</v>
      </c>
      <c r="M125" s="66">
        <f t="shared" si="10"/>
        <v>12</v>
      </c>
      <c r="N125" s="69" t="s">
        <v>496</v>
      </c>
      <c r="O125" s="46" t="s">
        <v>116</v>
      </c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</row>
    <row r="126" ht="15.75" customHeight="1">
      <c r="A126" s="89"/>
      <c r="B126" s="114"/>
      <c r="C126" s="93" t="s">
        <v>497</v>
      </c>
      <c r="D126" s="114"/>
      <c r="E126" s="115" t="s">
        <v>483</v>
      </c>
      <c r="F126" s="114"/>
      <c r="G126" s="118"/>
      <c r="H126" s="89"/>
      <c r="I126" s="79">
        <v>134525.0</v>
      </c>
      <c r="J126" s="64"/>
      <c r="K126" s="64"/>
      <c r="L126" s="79">
        <v>134525.0</v>
      </c>
      <c r="M126" s="66">
        <f t="shared" si="10"/>
        <v>12</v>
      </c>
      <c r="N126" s="69" t="s">
        <v>498</v>
      </c>
      <c r="O126" s="46" t="s">
        <v>116</v>
      </c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</row>
    <row r="127" ht="15.75" customHeight="1">
      <c r="A127" s="89"/>
      <c r="B127" s="92" t="s">
        <v>499</v>
      </c>
      <c r="C127" s="93" t="s">
        <v>500</v>
      </c>
      <c r="D127" s="114"/>
      <c r="E127" s="115" t="s">
        <v>501</v>
      </c>
      <c r="F127" s="115" t="s">
        <v>502</v>
      </c>
      <c r="G127" s="118"/>
      <c r="H127" s="89"/>
      <c r="I127" s="79">
        <v>7981420.0</v>
      </c>
      <c r="J127" s="64"/>
      <c r="K127" s="64"/>
      <c r="L127" s="64">
        <f t="shared" ref="L127:L128" si="17">I127</f>
        <v>7981420</v>
      </c>
      <c r="M127" s="66">
        <f t="shared" si="10"/>
        <v>12</v>
      </c>
      <c r="N127" s="69" t="s">
        <v>503</v>
      </c>
      <c r="O127" s="46" t="s">
        <v>116</v>
      </c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</row>
    <row r="128" ht="15.75" customHeight="1">
      <c r="A128" s="89"/>
      <c r="B128" s="92" t="s">
        <v>499</v>
      </c>
      <c r="C128" s="93" t="s">
        <v>504</v>
      </c>
      <c r="D128" s="114"/>
      <c r="E128" s="115" t="s">
        <v>505</v>
      </c>
      <c r="F128" s="115" t="s">
        <v>506</v>
      </c>
      <c r="G128" s="118"/>
      <c r="H128" s="125">
        <v>45981.0</v>
      </c>
      <c r="I128" s="79">
        <v>7399049.0</v>
      </c>
      <c r="J128" s="64"/>
      <c r="K128" s="64"/>
      <c r="L128" s="64">
        <f t="shared" si="17"/>
        <v>7399049</v>
      </c>
      <c r="M128" s="66">
        <f t="shared" si="10"/>
        <v>12</v>
      </c>
      <c r="N128" s="69" t="s">
        <v>507</v>
      </c>
      <c r="O128" s="46" t="s">
        <v>116</v>
      </c>
      <c r="P128" s="46" t="s">
        <v>508</v>
      </c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</row>
    <row r="129" ht="15.75" customHeight="1">
      <c r="A129" s="89"/>
      <c r="B129" s="114"/>
      <c r="C129" s="93" t="s">
        <v>509</v>
      </c>
      <c r="D129" s="114"/>
      <c r="E129" s="114"/>
      <c r="F129" s="114"/>
      <c r="G129" s="118"/>
      <c r="H129" s="89"/>
      <c r="I129" s="79">
        <v>2144500.0</v>
      </c>
      <c r="J129" s="64"/>
      <c r="K129" s="64"/>
      <c r="L129" s="79">
        <v>2144500.0</v>
      </c>
      <c r="M129" s="66">
        <f t="shared" si="10"/>
        <v>12</v>
      </c>
      <c r="N129" s="69" t="s">
        <v>510</v>
      </c>
      <c r="O129" s="46" t="s">
        <v>116</v>
      </c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</row>
    <row r="130" ht="15.75" customHeight="1">
      <c r="A130" s="89"/>
      <c r="B130" s="114"/>
      <c r="C130" s="93" t="s">
        <v>511</v>
      </c>
      <c r="D130" s="114"/>
      <c r="E130" s="114"/>
      <c r="F130" s="114"/>
      <c r="G130" s="118"/>
      <c r="H130" s="89"/>
      <c r="I130" s="79">
        <v>489000.0</v>
      </c>
      <c r="J130" s="64"/>
      <c r="K130" s="64"/>
      <c r="L130" s="79">
        <v>489000.0</v>
      </c>
      <c r="M130" s="66">
        <f t="shared" si="10"/>
        <v>12</v>
      </c>
      <c r="N130" s="69" t="s">
        <v>512</v>
      </c>
      <c r="O130" s="46" t="s">
        <v>116</v>
      </c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</row>
    <row r="131" ht="15.75" customHeight="1">
      <c r="A131" s="89"/>
      <c r="B131" s="114"/>
      <c r="C131" s="93" t="s">
        <v>513</v>
      </c>
      <c r="D131" s="114"/>
      <c r="E131" s="114"/>
      <c r="F131" s="114"/>
      <c r="G131" s="118"/>
      <c r="H131" s="89"/>
      <c r="I131" s="79">
        <v>5000000.0</v>
      </c>
      <c r="J131" s="64"/>
      <c r="K131" s="64"/>
      <c r="L131" s="79">
        <v>5000000.0</v>
      </c>
      <c r="M131" s="66">
        <f t="shared" si="10"/>
        <v>12</v>
      </c>
      <c r="N131" s="48"/>
      <c r="O131" s="46" t="s">
        <v>116</v>
      </c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</row>
    <row r="132" ht="15.75" customHeight="1">
      <c r="A132" s="89"/>
      <c r="B132" s="92" t="s">
        <v>514</v>
      </c>
      <c r="C132" s="93" t="s">
        <v>515</v>
      </c>
      <c r="D132" s="114"/>
      <c r="E132" s="115" t="s">
        <v>516</v>
      </c>
      <c r="F132" s="115" t="s">
        <v>517</v>
      </c>
      <c r="G132" s="118"/>
      <c r="H132" s="89"/>
      <c r="I132" s="79">
        <v>2370960.0</v>
      </c>
      <c r="J132" s="64"/>
      <c r="K132" s="64"/>
      <c r="L132" s="64">
        <f>I132</f>
        <v>2370960</v>
      </c>
      <c r="M132" s="66">
        <f t="shared" si="10"/>
        <v>12</v>
      </c>
      <c r="N132" s="69" t="s">
        <v>518</v>
      </c>
      <c r="O132" s="46" t="s">
        <v>116</v>
      </c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</row>
    <row r="133" ht="15.75" customHeight="1">
      <c r="A133" s="89"/>
      <c r="B133" s="92" t="s">
        <v>519</v>
      </c>
      <c r="C133" s="93" t="s">
        <v>520</v>
      </c>
      <c r="D133" s="114"/>
      <c r="E133" s="115" t="s">
        <v>516</v>
      </c>
      <c r="F133" s="115" t="s">
        <v>521</v>
      </c>
      <c r="G133" s="118"/>
      <c r="H133" s="89"/>
      <c r="I133" s="79">
        <v>3500000.0</v>
      </c>
      <c r="J133" s="79">
        <v>385000.0</v>
      </c>
      <c r="K133" s="64"/>
      <c r="L133" s="64">
        <f t="shared" ref="L133:L135" si="18">I133+J133</f>
        <v>3885000</v>
      </c>
      <c r="M133" s="66">
        <f t="shared" si="10"/>
        <v>12</v>
      </c>
      <c r="N133" s="69" t="s">
        <v>522</v>
      </c>
      <c r="O133" s="46" t="s">
        <v>116</v>
      </c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</row>
    <row r="134" ht="15.75" customHeight="1">
      <c r="A134" s="89"/>
      <c r="B134" s="92" t="s">
        <v>307</v>
      </c>
      <c r="C134" s="93" t="s">
        <v>523</v>
      </c>
      <c r="D134" s="114"/>
      <c r="E134" s="115" t="s">
        <v>524</v>
      </c>
      <c r="F134" s="115" t="s">
        <v>525</v>
      </c>
      <c r="G134" s="118"/>
      <c r="H134" s="89"/>
      <c r="I134" s="79">
        <v>1.96568E7</v>
      </c>
      <c r="J134" s="79">
        <v>2162248.0</v>
      </c>
      <c r="K134" s="64"/>
      <c r="L134" s="64">
        <f t="shared" si="18"/>
        <v>21819048</v>
      </c>
      <c r="M134" s="66">
        <f t="shared" si="10"/>
        <v>12</v>
      </c>
      <c r="N134" s="69" t="s">
        <v>526</v>
      </c>
      <c r="O134" s="46" t="s">
        <v>116</v>
      </c>
      <c r="P134" s="48"/>
      <c r="Q134" s="95" t="s">
        <v>527</v>
      </c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</row>
    <row r="135" ht="15.75" customHeight="1">
      <c r="A135" s="89"/>
      <c r="B135" s="92" t="s">
        <v>345</v>
      </c>
      <c r="C135" s="93" t="s">
        <v>528</v>
      </c>
      <c r="D135" s="114"/>
      <c r="E135" s="115" t="s">
        <v>524</v>
      </c>
      <c r="F135" s="115" t="s">
        <v>529</v>
      </c>
      <c r="G135" s="118"/>
      <c r="H135" s="89"/>
      <c r="I135" s="79">
        <v>1.96568E7</v>
      </c>
      <c r="J135" s="79">
        <v>958164.0</v>
      </c>
      <c r="K135" s="64"/>
      <c r="L135" s="64">
        <f t="shared" si="18"/>
        <v>20614964</v>
      </c>
      <c r="M135" s="66">
        <f t="shared" si="10"/>
        <v>12</v>
      </c>
      <c r="N135" s="69" t="s">
        <v>530</v>
      </c>
      <c r="O135" s="46" t="s">
        <v>116</v>
      </c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</row>
    <row r="136" ht="15.75" customHeight="1">
      <c r="A136" s="89"/>
      <c r="B136" s="114"/>
      <c r="C136" s="93" t="s">
        <v>531</v>
      </c>
      <c r="D136" s="114"/>
      <c r="E136" s="115" t="s">
        <v>532</v>
      </c>
      <c r="F136" s="114"/>
      <c r="G136" s="118"/>
      <c r="H136" s="89"/>
      <c r="I136" s="79">
        <v>1542000.0</v>
      </c>
      <c r="J136" s="64"/>
      <c r="K136" s="64"/>
      <c r="L136" s="64">
        <f>I136</f>
        <v>1542000</v>
      </c>
      <c r="M136" s="66">
        <f t="shared" si="10"/>
        <v>12</v>
      </c>
      <c r="N136" s="69" t="s">
        <v>533</v>
      </c>
      <c r="O136" s="46" t="s">
        <v>116</v>
      </c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</row>
    <row r="137" ht="15.75" customHeight="1">
      <c r="A137" s="89"/>
      <c r="B137" s="92" t="s">
        <v>307</v>
      </c>
      <c r="C137" s="93" t="s">
        <v>534</v>
      </c>
      <c r="D137" s="114"/>
      <c r="E137" s="115" t="s">
        <v>535</v>
      </c>
      <c r="F137" s="115" t="s">
        <v>536</v>
      </c>
      <c r="G137" s="118"/>
      <c r="H137" s="89"/>
      <c r="I137" s="79">
        <v>799551.0</v>
      </c>
      <c r="J137" s="79">
        <v>87951.0</v>
      </c>
      <c r="K137" s="64"/>
      <c r="L137" s="64">
        <f t="shared" ref="L137:L139" si="19">I137+J137</f>
        <v>887502</v>
      </c>
      <c r="M137" s="66">
        <f t="shared" si="10"/>
        <v>12</v>
      </c>
      <c r="N137" s="69" t="s">
        <v>537</v>
      </c>
      <c r="O137" s="46" t="s">
        <v>116</v>
      </c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</row>
    <row r="138" ht="15.75" customHeight="1">
      <c r="A138" s="89"/>
      <c r="B138" s="92" t="s">
        <v>373</v>
      </c>
      <c r="C138" s="93" t="s">
        <v>538</v>
      </c>
      <c r="D138" s="114"/>
      <c r="E138" s="115" t="s">
        <v>535</v>
      </c>
      <c r="F138" s="115" t="s">
        <v>539</v>
      </c>
      <c r="G138" s="118"/>
      <c r="H138" s="89"/>
      <c r="I138" s="79">
        <v>326000.0</v>
      </c>
      <c r="J138" s="79">
        <v>35860.0</v>
      </c>
      <c r="K138" s="64"/>
      <c r="L138" s="64">
        <f t="shared" si="19"/>
        <v>361860</v>
      </c>
      <c r="M138" s="66">
        <f t="shared" si="10"/>
        <v>12</v>
      </c>
      <c r="N138" s="69" t="s">
        <v>540</v>
      </c>
      <c r="O138" s="46" t="s">
        <v>116</v>
      </c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</row>
    <row r="139" ht="15.75" customHeight="1">
      <c r="A139" s="89"/>
      <c r="B139" s="92" t="s">
        <v>373</v>
      </c>
      <c r="C139" s="93" t="s">
        <v>541</v>
      </c>
      <c r="D139" s="114"/>
      <c r="E139" s="115" t="s">
        <v>542</v>
      </c>
      <c r="F139" s="115" t="s">
        <v>543</v>
      </c>
      <c r="G139" s="118"/>
      <c r="H139" s="89"/>
      <c r="I139" s="79">
        <v>745600.0</v>
      </c>
      <c r="J139" s="79">
        <v>82016.0</v>
      </c>
      <c r="K139" s="64"/>
      <c r="L139" s="64">
        <f t="shared" si="19"/>
        <v>827616</v>
      </c>
      <c r="M139" s="66">
        <f t="shared" si="10"/>
        <v>12</v>
      </c>
      <c r="N139" s="69" t="s">
        <v>544</v>
      </c>
      <c r="O139" s="46" t="s">
        <v>116</v>
      </c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</row>
    <row r="140" ht="15.75" customHeight="1">
      <c r="A140" s="89"/>
      <c r="B140" s="114"/>
      <c r="C140" s="93" t="s">
        <v>545</v>
      </c>
      <c r="D140" s="114"/>
      <c r="E140" s="115" t="s">
        <v>546</v>
      </c>
      <c r="F140" s="114"/>
      <c r="G140" s="118"/>
      <c r="H140" s="92"/>
      <c r="I140" s="79">
        <v>397600.0</v>
      </c>
      <c r="J140" s="64"/>
      <c r="K140" s="64"/>
      <c r="L140" s="64">
        <f>I140</f>
        <v>397600</v>
      </c>
      <c r="M140" s="66">
        <f t="shared" si="10"/>
        <v>12</v>
      </c>
      <c r="N140" s="69" t="s">
        <v>547</v>
      </c>
      <c r="O140" s="46" t="s">
        <v>116</v>
      </c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</row>
    <row r="141" ht="15.75" customHeight="1">
      <c r="A141" s="89"/>
      <c r="B141" s="114"/>
      <c r="C141" s="93" t="s">
        <v>548</v>
      </c>
      <c r="D141" s="114"/>
      <c r="E141" s="115" t="s">
        <v>546</v>
      </c>
      <c r="F141" s="114"/>
      <c r="G141" s="118"/>
      <c r="H141" s="89"/>
      <c r="I141" s="79">
        <v>198460.0</v>
      </c>
      <c r="J141" s="64"/>
      <c r="K141" s="64"/>
      <c r="L141" s="79">
        <v>198460.0</v>
      </c>
      <c r="M141" s="66">
        <f t="shared" si="10"/>
        <v>12</v>
      </c>
      <c r="N141" s="69" t="s">
        <v>549</v>
      </c>
      <c r="O141" s="46" t="s">
        <v>116</v>
      </c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</row>
    <row r="142" ht="15.75" customHeight="1">
      <c r="A142" s="89"/>
      <c r="B142" s="114"/>
      <c r="C142" s="93" t="s">
        <v>550</v>
      </c>
      <c r="D142" s="114"/>
      <c r="E142" s="115" t="s">
        <v>546</v>
      </c>
      <c r="F142" s="114"/>
      <c r="G142" s="118"/>
      <c r="H142" s="89"/>
      <c r="I142" s="79">
        <v>371500.0</v>
      </c>
      <c r="J142" s="64"/>
      <c r="K142" s="64"/>
      <c r="L142" s="79">
        <v>371500.0</v>
      </c>
      <c r="M142" s="66">
        <f t="shared" si="10"/>
        <v>12</v>
      </c>
      <c r="N142" s="69" t="s">
        <v>551</v>
      </c>
      <c r="O142" s="46" t="s">
        <v>116</v>
      </c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</row>
    <row r="143" ht="15.75" customHeight="1">
      <c r="A143" s="89"/>
      <c r="B143" s="114"/>
      <c r="C143" s="93" t="s">
        <v>552</v>
      </c>
      <c r="D143" s="114"/>
      <c r="E143" s="115" t="s">
        <v>546</v>
      </c>
      <c r="F143" s="114"/>
      <c r="G143" s="118"/>
      <c r="H143" s="89"/>
      <c r="I143" s="79">
        <v>109800.0</v>
      </c>
      <c r="J143" s="64"/>
      <c r="K143" s="64"/>
      <c r="L143" s="79">
        <v>109800.0</v>
      </c>
      <c r="M143" s="66">
        <f t="shared" si="10"/>
        <v>12</v>
      </c>
      <c r="N143" s="69" t="s">
        <v>553</v>
      </c>
      <c r="O143" s="46" t="s">
        <v>116</v>
      </c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</row>
    <row r="144" ht="15.75" customHeight="1">
      <c r="A144" s="89"/>
      <c r="B144" s="114"/>
      <c r="C144" s="93" t="s">
        <v>554</v>
      </c>
      <c r="D144" s="114"/>
      <c r="E144" s="115" t="s">
        <v>546</v>
      </c>
      <c r="F144" s="114"/>
      <c r="G144" s="118"/>
      <c r="H144" s="89"/>
      <c r="I144" s="79">
        <v>84991.0</v>
      </c>
      <c r="J144" s="64"/>
      <c r="K144" s="64"/>
      <c r="L144" s="79">
        <v>84991.0</v>
      </c>
      <c r="M144" s="66">
        <f t="shared" si="10"/>
        <v>12</v>
      </c>
      <c r="N144" s="69" t="s">
        <v>555</v>
      </c>
      <c r="O144" s="46" t="s">
        <v>116</v>
      </c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</row>
    <row r="145" ht="15.75" customHeight="1">
      <c r="A145" s="89"/>
      <c r="B145" s="114"/>
      <c r="C145" s="93" t="s">
        <v>556</v>
      </c>
      <c r="D145" s="114"/>
      <c r="E145" s="115" t="s">
        <v>546</v>
      </c>
      <c r="F145" s="114"/>
      <c r="G145" s="118"/>
      <c r="H145" s="89"/>
      <c r="I145" s="79">
        <v>40500.0</v>
      </c>
      <c r="J145" s="64"/>
      <c r="K145" s="64"/>
      <c r="L145" s="79">
        <v>40500.0</v>
      </c>
      <c r="M145" s="66">
        <f t="shared" si="10"/>
        <v>12</v>
      </c>
      <c r="N145" s="69" t="s">
        <v>557</v>
      </c>
      <c r="O145" s="46" t="s">
        <v>116</v>
      </c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</row>
    <row r="146" ht="15.75" customHeight="1">
      <c r="A146" s="89"/>
      <c r="B146" s="114"/>
      <c r="C146" s="93" t="s">
        <v>558</v>
      </c>
      <c r="D146" s="114"/>
      <c r="E146" s="115" t="s">
        <v>546</v>
      </c>
      <c r="F146" s="114"/>
      <c r="G146" s="118"/>
      <c r="H146" s="89"/>
      <c r="I146" s="79">
        <v>41900.0</v>
      </c>
      <c r="J146" s="64"/>
      <c r="K146" s="64"/>
      <c r="L146" s="79">
        <v>41900.0</v>
      </c>
      <c r="M146" s="66">
        <f t="shared" si="10"/>
        <v>12</v>
      </c>
      <c r="N146" s="69" t="s">
        <v>559</v>
      </c>
      <c r="O146" s="46" t="s">
        <v>116</v>
      </c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</row>
    <row r="147" ht="15.75" customHeight="1">
      <c r="A147" s="89"/>
      <c r="B147" s="114"/>
      <c r="C147" s="93" t="s">
        <v>560</v>
      </c>
      <c r="D147" s="114"/>
      <c r="E147" s="115" t="s">
        <v>483</v>
      </c>
      <c r="F147" s="114"/>
      <c r="G147" s="118"/>
      <c r="H147" s="89"/>
      <c r="I147" s="79">
        <v>48400.0</v>
      </c>
      <c r="J147" s="64"/>
      <c r="K147" s="64"/>
      <c r="L147" s="79">
        <v>48400.0</v>
      </c>
      <c r="M147" s="66">
        <f t="shared" si="10"/>
        <v>12</v>
      </c>
      <c r="N147" s="69" t="s">
        <v>561</v>
      </c>
      <c r="O147" s="46" t="s">
        <v>116</v>
      </c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</row>
    <row r="148" ht="15.75" customHeight="1">
      <c r="A148" s="89"/>
      <c r="B148" s="114"/>
      <c r="C148" s="93" t="s">
        <v>562</v>
      </c>
      <c r="D148" s="114"/>
      <c r="E148" s="115" t="s">
        <v>483</v>
      </c>
      <c r="F148" s="114"/>
      <c r="G148" s="118"/>
      <c r="H148" s="89"/>
      <c r="I148" s="79">
        <v>557464.0</v>
      </c>
      <c r="J148" s="64"/>
      <c r="K148" s="64"/>
      <c r="L148" s="79">
        <v>557464.0</v>
      </c>
      <c r="M148" s="66">
        <f t="shared" si="10"/>
        <v>12</v>
      </c>
      <c r="N148" s="69" t="s">
        <v>563</v>
      </c>
      <c r="O148" s="46" t="s">
        <v>116</v>
      </c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</row>
    <row r="149" ht="15.75" customHeight="1">
      <c r="A149" s="89"/>
      <c r="B149" s="114"/>
      <c r="C149" s="93" t="s">
        <v>564</v>
      </c>
      <c r="D149" s="114"/>
      <c r="E149" s="115" t="s">
        <v>483</v>
      </c>
      <c r="F149" s="114"/>
      <c r="G149" s="118"/>
      <c r="H149" s="89"/>
      <c r="I149" s="79">
        <v>360000.0</v>
      </c>
      <c r="J149" s="64"/>
      <c r="K149" s="64"/>
      <c r="L149" s="79">
        <v>360000.0</v>
      </c>
      <c r="M149" s="66">
        <f t="shared" si="10"/>
        <v>12</v>
      </c>
      <c r="N149" s="69" t="s">
        <v>563</v>
      </c>
      <c r="O149" s="46" t="s">
        <v>116</v>
      </c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</row>
    <row r="150" ht="15.75" customHeight="1">
      <c r="A150" s="89"/>
      <c r="B150" s="114"/>
      <c r="C150" s="93" t="s">
        <v>565</v>
      </c>
      <c r="D150" s="114"/>
      <c r="E150" s="115" t="s">
        <v>483</v>
      </c>
      <c r="F150" s="114"/>
      <c r="G150" s="118"/>
      <c r="H150" s="89"/>
      <c r="I150" s="79">
        <v>477417.0</v>
      </c>
      <c r="J150" s="64"/>
      <c r="K150" s="64"/>
      <c r="L150" s="79">
        <v>477417.0</v>
      </c>
      <c r="M150" s="66">
        <f t="shared" si="10"/>
        <v>12</v>
      </c>
      <c r="N150" s="69" t="s">
        <v>566</v>
      </c>
      <c r="O150" s="46" t="s">
        <v>116</v>
      </c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</row>
    <row r="151" ht="15.75" customHeight="1">
      <c r="A151" s="89"/>
      <c r="B151" s="114"/>
      <c r="C151" s="93" t="s">
        <v>567</v>
      </c>
      <c r="D151" s="114"/>
      <c r="E151" s="114"/>
      <c r="F151" s="114"/>
      <c r="G151" s="118"/>
      <c r="H151" s="89"/>
      <c r="I151" s="79">
        <v>5000000.0</v>
      </c>
      <c r="J151" s="64"/>
      <c r="K151" s="64"/>
      <c r="L151" s="79">
        <v>5000000.0</v>
      </c>
      <c r="M151" s="66">
        <f t="shared" si="10"/>
        <v>12</v>
      </c>
      <c r="N151" s="48"/>
      <c r="O151" s="46" t="s">
        <v>116</v>
      </c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</row>
    <row r="152" ht="15.75" customHeight="1">
      <c r="A152" s="89"/>
      <c r="B152" s="114"/>
      <c r="C152" s="93" t="s">
        <v>568</v>
      </c>
      <c r="D152" s="114"/>
      <c r="E152" s="114"/>
      <c r="F152" s="114"/>
      <c r="G152" s="118"/>
      <c r="H152" s="89"/>
      <c r="I152" s="79">
        <v>770000.0</v>
      </c>
      <c r="J152" s="64"/>
      <c r="K152" s="64"/>
      <c r="L152" s="79">
        <v>770000.0</v>
      </c>
      <c r="M152" s="66">
        <f t="shared" si="10"/>
        <v>12</v>
      </c>
      <c r="N152" s="69" t="s">
        <v>569</v>
      </c>
      <c r="O152" s="46" t="s">
        <v>116</v>
      </c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</row>
    <row r="153" ht="15.75" customHeight="1">
      <c r="A153" s="89"/>
      <c r="B153" s="114"/>
      <c r="C153" s="93" t="s">
        <v>570</v>
      </c>
      <c r="D153" s="114"/>
      <c r="E153" s="114"/>
      <c r="F153" s="114"/>
      <c r="G153" s="118"/>
      <c r="H153" s="89"/>
      <c r="I153" s="79">
        <v>1050000.0</v>
      </c>
      <c r="J153" s="79">
        <v>115500.0</v>
      </c>
      <c r="K153" s="79">
        <v>21000.0</v>
      </c>
      <c r="L153" s="64">
        <f>I153+J153-K153</f>
        <v>1144500</v>
      </c>
      <c r="M153" s="66">
        <f t="shared" si="10"/>
        <v>12</v>
      </c>
      <c r="N153" s="69" t="s">
        <v>571</v>
      </c>
      <c r="O153" s="46" t="s">
        <v>116</v>
      </c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</row>
    <row r="154" ht="15.75" customHeight="1">
      <c r="A154" s="89"/>
      <c r="B154" s="114"/>
      <c r="C154" s="93" t="s">
        <v>572</v>
      </c>
      <c r="D154" s="114"/>
      <c r="E154" s="115" t="s">
        <v>573</v>
      </c>
      <c r="F154" s="114"/>
      <c r="G154" s="117">
        <v>45966.0</v>
      </c>
      <c r="H154" s="89"/>
      <c r="I154" s="79">
        <v>152400.0</v>
      </c>
      <c r="J154" s="64"/>
      <c r="K154" s="64"/>
      <c r="L154" s="64">
        <f>I154</f>
        <v>152400</v>
      </c>
      <c r="M154" s="66">
        <f t="shared" si="10"/>
        <v>11</v>
      </c>
      <c r="N154" s="69" t="s">
        <v>574</v>
      </c>
      <c r="O154" s="46" t="s">
        <v>116</v>
      </c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</row>
    <row r="155" ht="15.75" customHeight="1">
      <c r="A155" s="89"/>
      <c r="B155" s="114"/>
      <c r="C155" s="93" t="s">
        <v>575</v>
      </c>
      <c r="D155" s="114"/>
      <c r="E155" s="115" t="s">
        <v>576</v>
      </c>
      <c r="F155" s="114"/>
      <c r="G155" s="117">
        <v>45966.0</v>
      </c>
      <c r="H155" s="89"/>
      <c r="I155" s="79">
        <v>472000.0</v>
      </c>
      <c r="J155" s="64"/>
      <c r="K155" s="64"/>
      <c r="L155" s="79">
        <v>472000.0</v>
      </c>
      <c r="M155" s="66">
        <f t="shared" si="10"/>
        <v>11</v>
      </c>
      <c r="N155" s="69" t="s">
        <v>577</v>
      </c>
      <c r="O155" s="46" t="s">
        <v>116</v>
      </c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</row>
    <row r="156" ht="15.75" customHeight="1">
      <c r="A156" s="89"/>
      <c r="B156" s="114"/>
      <c r="C156" s="93" t="s">
        <v>578</v>
      </c>
      <c r="D156" s="114"/>
      <c r="E156" s="115" t="s">
        <v>576</v>
      </c>
      <c r="F156" s="114"/>
      <c r="G156" s="117">
        <v>45966.0</v>
      </c>
      <c r="H156" s="89"/>
      <c r="I156" s="79">
        <v>76800.0</v>
      </c>
      <c r="J156" s="64"/>
      <c r="K156" s="64"/>
      <c r="L156" s="79">
        <v>76800.0</v>
      </c>
      <c r="M156" s="66">
        <f t="shared" si="10"/>
        <v>11</v>
      </c>
      <c r="N156" s="69" t="s">
        <v>579</v>
      </c>
      <c r="O156" s="46" t="s">
        <v>116</v>
      </c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</row>
    <row r="157" ht="15.75" customHeight="1">
      <c r="A157" s="89"/>
      <c r="B157" s="114"/>
      <c r="C157" s="93" t="s">
        <v>580</v>
      </c>
      <c r="D157" s="114"/>
      <c r="E157" s="115" t="s">
        <v>576</v>
      </c>
      <c r="F157" s="114"/>
      <c r="G157" s="117">
        <v>45966.0</v>
      </c>
      <c r="H157" s="89"/>
      <c r="I157" s="79">
        <v>71500.0</v>
      </c>
      <c r="J157" s="64"/>
      <c r="K157" s="64"/>
      <c r="L157" s="79">
        <v>71500.0</v>
      </c>
      <c r="M157" s="66">
        <f t="shared" si="10"/>
        <v>11</v>
      </c>
      <c r="N157" s="69" t="s">
        <v>581</v>
      </c>
      <c r="O157" s="46" t="s">
        <v>116</v>
      </c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</row>
    <row r="158" ht="15.75" customHeight="1">
      <c r="A158" s="89"/>
      <c r="B158" s="114"/>
      <c r="C158" s="93" t="s">
        <v>582</v>
      </c>
      <c r="D158" s="114"/>
      <c r="E158" s="115" t="s">
        <v>576</v>
      </c>
      <c r="F158" s="114"/>
      <c r="G158" s="117">
        <v>45966.0</v>
      </c>
      <c r="H158" s="89"/>
      <c r="I158" s="79">
        <v>72100.0</v>
      </c>
      <c r="J158" s="64"/>
      <c r="K158" s="64"/>
      <c r="L158" s="79">
        <v>72100.0</v>
      </c>
      <c r="M158" s="66">
        <f t="shared" si="10"/>
        <v>11</v>
      </c>
      <c r="N158" s="69" t="s">
        <v>583</v>
      </c>
      <c r="O158" s="46" t="s">
        <v>116</v>
      </c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</row>
    <row r="159" ht="15.75" customHeight="1">
      <c r="A159" s="89"/>
      <c r="B159" s="114"/>
      <c r="C159" s="93" t="s">
        <v>584</v>
      </c>
      <c r="D159" s="114"/>
      <c r="E159" s="114"/>
      <c r="F159" s="114"/>
      <c r="G159" s="117">
        <v>45966.0</v>
      </c>
      <c r="H159" s="89"/>
      <c r="I159" s="79">
        <v>6460000.0</v>
      </c>
      <c r="J159" s="64"/>
      <c r="K159" s="64"/>
      <c r="L159" s="64">
        <f>I159</f>
        <v>6460000</v>
      </c>
      <c r="M159" s="66">
        <f t="shared" si="10"/>
        <v>11</v>
      </c>
      <c r="N159" s="69" t="s">
        <v>585</v>
      </c>
      <c r="O159" s="46" t="s">
        <v>116</v>
      </c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</row>
    <row r="160" ht="15.75" customHeight="1">
      <c r="A160" s="89"/>
      <c r="B160" s="114"/>
      <c r="C160" s="93" t="s">
        <v>586</v>
      </c>
      <c r="D160" s="114"/>
      <c r="E160" s="114"/>
      <c r="F160" s="114"/>
      <c r="G160" s="117">
        <v>45966.0</v>
      </c>
      <c r="H160" s="89"/>
      <c r="I160" s="79">
        <v>705000.0</v>
      </c>
      <c r="J160" s="64"/>
      <c r="K160" s="64"/>
      <c r="L160" s="79">
        <v>705000.0</v>
      </c>
      <c r="M160" s="66">
        <f t="shared" si="10"/>
        <v>11</v>
      </c>
      <c r="N160" s="69" t="s">
        <v>587</v>
      </c>
      <c r="O160" s="46" t="s">
        <v>116</v>
      </c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</row>
    <row r="161" ht="15.75" customHeight="1">
      <c r="A161" s="89"/>
      <c r="B161" s="114"/>
      <c r="C161" s="93" t="s">
        <v>513</v>
      </c>
      <c r="D161" s="114"/>
      <c r="E161" s="114"/>
      <c r="F161" s="114"/>
      <c r="G161" s="118"/>
      <c r="H161" s="89"/>
      <c r="I161" s="79">
        <v>5000000.0</v>
      </c>
      <c r="J161" s="64"/>
      <c r="K161" s="64"/>
      <c r="L161" s="79">
        <v>5000000.0</v>
      </c>
      <c r="M161" s="66">
        <f t="shared" si="10"/>
        <v>12</v>
      </c>
      <c r="N161" s="48"/>
      <c r="O161" s="46" t="s">
        <v>116</v>
      </c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</row>
    <row r="162" ht="15.75" customHeight="1">
      <c r="A162" s="89"/>
      <c r="B162" s="92" t="s">
        <v>430</v>
      </c>
      <c r="C162" s="93" t="s">
        <v>588</v>
      </c>
      <c r="D162" s="114"/>
      <c r="E162" s="114"/>
      <c r="F162" s="114"/>
      <c r="G162" s="118"/>
      <c r="H162" s="89"/>
      <c r="I162" s="79">
        <v>536250.0</v>
      </c>
      <c r="J162" s="79">
        <v>58988.0</v>
      </c>
      <c r="K162" s="64"/>
      <c r="L162" s="79">
        <f t="shared" ref="L162:L164" si="20">I162+J162</f>
        <v>595238</v>
      </c>
      <c r="M162" s="66">
        <f t="shared" si="10"/>
        <v>12</v>
      </c>
      <c r="N162" s="69" t="s">
        <v>589</v>
      </c>
      <c r="O162" s="46" t="s">
        <v>116</v>
      </c>
      <c r="P162" s="69" t="s">
        <v>590</v>
      </c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</row>
    <row r="163" ht="15.75" customHeight="1">
      <c r="A163" s="89"/>
      <c r="B163" s="92" t="s">
        <v>591</v>
      </c>
      <c r="C163" s="93" t="s">
        <v>592</v>
      </c>
      <c r="D163" s="114"/>
      <c r="E163" s="115" t="s">
        <v>593</v>
      </c>
      <c r="F163" s="115" t="s">
        <v>594</v>
      </c>
      <c r="G163" s="117">
        <v>45968.0</v>
      </c>
      <c r="H163" s="89"/>
      <c r="I163" s="79">
        <v>4396396.0</v>
      </c>
      <c r="J163" s="79">
        <v>483604.0</v>
      </c>
      <c r="K163" s="64"/>
      <c r="L163" s="79">
        <f t="shared" si="20"/>
        <v>4880000</v>
      </c>
      <c r="M163" s="66">
        <f t="shared" si="10"/>
        <v>11</v>
      </c>
      <c r="N163" s="69" t="s">
        <v>595</v>
      </c>
      <c r="O163" s="46" t="s">
        <v>116</v>
      </c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</row>
    <row r="164" ht="15.75" customHeight="1">
      <c r="A164" s="89"/>
      <c r="B164" s="114"/>
      <c r="C164" s="93" t="s">
        <v>596</v>
      </c>
      <c r="D164" s="114"/>
      <c r="E164" s="115" t="s">
        <v>597</v>
      </c>
      <c r="F164" s="115" t="s">
        <v>598</v>
      </c>
      <c r="G164" s="117">
        <v>45968.0</v>
      </c>
      <c r="H164" s="89"/>
      <c r="I164" s="79">
        <v>6156000.0</v>
      </c>
      <c r="J164" s="79">
        <v>677160.0</v>
      </c>
      <c r="K164" s="64"/>
      <c r="L164" s="64">
        <f t="shared" si="20"/>
        <v>6833160</v>
      </c>
      <c r="M164" s="66">
        <f t="shared" si="10"/>
        <v>11</v>
      </c>
      <c r="N164" s="69" t="s">
        <v>599</v>
      </c>
      <c r="O164" s="46" t="s">
        <v>116</v>
      </c>
      <c r="P164" s="69" t="s">
        <v>600</v>
      </c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</row>
    <row r="165" ht="15.75" customHeight="1">
      <c r="A165" s="89"/>
      <c r="B165" s="114"/>
      <c r="C165" s="93" t="s">
        <v>601</v>
      </c>
      <c r="D165" s="114"/>
      <c r="E165" s="114"/>
      <c r="F165" s="114"/>
      <c r="G165" s="117">
        <v>45968.0</v>
      </c>
      <c r="H165" s="89"/>
      <c r="I165" s="79">
        <v>1.4439E7</v>
      </c>
      <c r="J165" s="64"/>
      <c r="K165" s="64"/>
      <c r="L165" s="64">
        <f>I165</f>
        <v>14439000</v>
      </c>
      <c r="M165" s="66">
        <f t="shared" si="10"/>
        <v>11</v>
      </c>
      <c r="N165" s="69" t="s">
        <v>602</v>
      </c>
      <c r="O165" s="46" t="s">
        <v>116</v>
      </c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</row>
    <row r="166" ht="15.75" customHeight="1">
      <c r="A166" s="89"/>
      <c r="B166" s="114"/>
      <c r="C166" s="93" t="s">
        <v>603</v>
      </c>
      <c r="D166" s="114"/>
      <c r="E166" s="114"/>
      <c r="F166" s="114"/>
      <c r="G166" s="117">
        <v>45968.0</v>
      </c>
      <c r="H166" s="89"/>
      <c r="I166" s="79">
        <v>405000.0</v>
      </c>
      <c r="J166" s="64"/>
      <c r="K166" s="64"/>
      <c r="L166" s="79">
        <v>405000.0</v>
      </c>
      <c r="M166" s="66">
        <f t="shared" si="10"/>
        <v>11</v>
      </c>
      <c r="N166" s="69" t="s">
        <v>604</v>
      </c>
      <c r="O166" s="46" t="s">
        <v>116</v>
      </c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</row>
    <row r="167" ht="15.75" customHeight="1">
      <c r="A167" s="89"/>
      <c r="B167" s="114"/>
      <c r="C167" s="93" t="s">
        <v>605</v>
      </c>
      <c r="D167" s="114"/>
      <c r="E167" s="92"/>
      <c r="F167" s="114"/>
      <c r="G167" s="117">
        <v>45968.0</v>
      </c>
      <c r="H167" s="89"/>
      <c r="I167" s="79">
        <v>542000.0</v>
      </c>
      <c r="J167" s="64"/>
      <c r="K167" s="64"/>
      <c r="L167" s="79">
        <v>542000.0</v>
      </c>
      <c r="M167" s="66">
        <f t="shared" si="10"/>
        <v>11</v>
      </c>
      <c r="N167" s="69" t="s">
        <v>606</v>
      </c>
      <c r="O167" s="46" t="s">
        <v>116</v>
      </c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</row>
    <row r="168" ht="15.75" customHeight="1">
      <c r="A168" s="89"/>
      <c r="B168" s="114"/>
      <c r="C168" s="93" t="s">
        <v>607</v>
      </c>
      <c r="D168" s="114"/>
      <c r="E168" s="115" t="s">
        <v>608</v>
      </c>
      <c r="F168" s="114"/>
      <c r="G168" s="117">
        <v>45972.0</v>
      </c>
      <c r="H168" s="89"/>
      <c r="I168" s="79">
        <v>2203000.0</v>
      </c>
      <c r="J168" s="64"/>
      <c r="K168" s="64"/>
      <c r="L168" s="79">
        <v>2203000.0</v>
      </c>
      <c r="M168" s="66">
        <f t="shared" si="10"/>
        <v>11</v>
      </c>
      <c r="N168" s="69" t="s">
        <v>609</v>
      </c>
      <c r="O168" s="46" t="s">
        <v>116</v>
      </c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</row>
    <row r="169" ht="15.75" customHeight="1">
      <c r="A169" s="89"/>
      <c r="B169" s="114"/>
      <c r="C169" s="93" t="s">
        <v>610</v>
      </c>
      <c r="D169" s="114"/>
      <c r="E169" s="115" t="s">
        <v>608</v>
      </c>
      <c r="F169" s="114"/>
      <c r="G169" s="117">
        <v>45972.0</v>
      </c>
      <c r="H169" s="89"/>
      <c r="I169" s="79">
        <v>499458.0</v>
      </c>
      <c r="J169" s="64"/>
      <c r="K169" s="64"/>
      <c r="L169" s="79">
        <v>499458.0</v>
      </c>
      <c r="M169" s="66">
        <f t="shared" si="10"/>
        <v>11</v>
      </c>
      <c r="N169" s="69" t="s">
        <v>611</v>
      </c>
      <c r="O169" s="46" t="s">
        <v>116</v>
      </c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</row>
    <row r="170" ht="15.75" customHeight="1">
      <c r="A170" s="89"/>
      <c r="B170" s="114"/>
      <c r="C170" s="93" t="s">
        <v>612</v>
      </c>
      <c r="D170" s="114"/>
      <c r="E170" s="115" t="s">
        <v>608</v>
      </c>
      <c r="F170" s="114"/>
      <c r="G170" s="117">
        <v>45972.0</v>
      </c>
      <c r="H170" s="89"/>
      <c r="I170" s="79">
        <v>107864.0</v>
      </c>
      <c r="J170" s="64"/>
      <c r="K170" s="64"/>
      <c r="L170" s="64">
        <f>I170</f>
        <v>107864</v>
      </c>
      <c r="M170" s="66">
        <f t="shared" si="10"/>
        <v>11</v>
      </c>
      <c r="N170" s="69" t="s">
        <v>613</v>
      </c>
      <c r="O170" s="46" t="s">
        <v>116</v>
      </c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</row>
    <row r="171" ht="15.75" customHeight="1">
      <c r="A171" s="89"/>
      <c r="B171" s="114"/>
      <c r="C171" s="93" t="s">
        <v>614</v>
      </c>
      <c r="D171" s="114"/>
      <c r="E171" s="115" t="s">
        <v>615</v>
      </c>
      <c r="F171" s="114"/>
      <c r="G171" s="117">
        <v>45972.0</v>
      </c>
      <c r="H171" s="89"/>
      <c r="I171" s="79">
        <v>8754812.0</v>
      </c>
      <c r="J171" s="79">
        <v>963029.0</v>
      </c>
      <c r="K171" s="79">
        <v>175096.0</v>
      </c>
      <c r="L171" s="64">
        <f>I171+J171-K171</f>
        <v>9542745</v>
      </c>
      <c r="M171" s="66">
        <f t="shared" si="10"/>
        <v>11</v>
      </c>
      <c r="N171" s="115" t="s">
        <v>615</v>
      </c>
      <c r="O171" s="46" t="s">
        <v>116</v>
      </c>
      <c r="P171" s="115" t="s">
        <v>615</v>
      </c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</row>
    <row r="172" ht="15.75" customHeight="1">
      <c r="A172" s="89"/>
      <c r="B172" s="92" t="s">
        <v>616</v>
      </c>
      <c r="C172" s="93" t="s">
        <v>617</v>
      </c>
      <c r="D172" s="114"/>
      <c r="E172" s="115" t="s">
        <v>618</v>
      </c>
      <c r="F172" s="114"/>
      <c r="G172" s="118"/>
      <c r="H172" s="89"/>
      <c r="I172" s="79">
        <v>1.311351E7</v>
      </c>
      <c r="J172" s="79">
        <v>1442496.0</v>
      </c>
      <c r="K172" s="64"/>
      <c r="L172" s="64">
        <f t="shared" ref="L172:L173" si="21">I172+J172</f>
        <v>14556006</v>
      </c>
      <c r="M172" s="66">
        <f t="shared" si="10"/>
        <v>12</v>
      </c>
      <c r="N172" s="69" t="s">
        <v>619</v>
      </c>
      <c r="O172" s="46" t="s">
        <v>116</v>
      </c>
      <c r="P172" s="69" t="s">
        <v>620</v>
      </c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</row>
    <row r="173" ht="15.75" customHeight="1">
      <c r="A173" s="89"/>
      <c r="B173" s="92" t="s">
        <v>616</v>
      </c>
      <c r="C173" s="93" t="s">
        <v>621</v>
      </c>
      <c r="D173" s="114"/>
      <c r="E173" s="115" t="s">
        <v>622</v>
      </c>
      <c r="F173" s="114"/>
      <c r="G173" s="118"/>
      <c r="H173" s="89"/>
      <c r="I173" s="79">
        <v>1.26405E7</v>
      </c>
      <c r="J173" s="79">
        <v>1390455.0</v>
      </c>
      <c r="K173" s="64"/>
      <c r="L173" s="64">
        <f t="shared" si="21"/>
        <v>14030955</v>
      </c>
      <c r="M173" s="66">
        <f t="shared" si="10"/>
        <v>12</v>
      </c>
      <c r="N173" s="69" t="s">
        <v>623</v>
      </c>
      <c r="O173" s="46" t="s">
        <v>116</v>
      </c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</row>
    <row r="174" ht="15.75" customHeight="1">
      <c r="A174" s="89"/>
      <c r="B174" s="114"/>
      <c r="C174" s="93" t="s">
        <v>624</v>
      </c>
      <c r="D174" s="114"/>
      <c r="E174" s="115" t="s">
        <v>625</v>
      </c>
      <c r="F174" s="114"/>
      <c r="G174" s="117">
        <v>45975.0</v>
      </c>
      <c r="H174" s="89"/>
      <c r="I174" s="79">
        <v>1057500.0</v>
      </c>
      <c r="J174" s="64"/>
      <c r="K174" s="64"/>
      <c r="L174" s="79">
        <v>1057500.0</v>
      </c>
      <c r="M174" s="66"/>
      <c r="N174" s="69" t="s">
        <v>626</v>
      </c>
      <c r="O174" s="46" t="s">
        <v>116</v>
      </c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</row>
    <row r="175" ht="15.75" customHeight="1">
      <c r="A175" s="89"/>
      <c r="B175" s="114"/>
      <c r="C175" s="93" t="s">
        <v>627</v>
      </c>
      <c r="D175" s="114"/>
      <c r="E175" s="115" t="s">
        <v>625</v>
      </c>
      <c r="F175" s="114"/>
      <c r="G175" s="117">
        <v>45975.0</v>
      </c>
      <c r="H175" s="89"/>
      <c r="I175" s="79">
        <v>327000.0</v>
      </c>
      <c r="J175" s="64"/>
      <c r="K175" s="64"/>
      <c r="L175" s="64">
        <f>I175</f>
        <v>327000</v>
      </c>
      <c r="M175" s="66"/>
      <c r="N175" s="69" t="s">
        <v>628</v>
      </c>
      <c r="O175" s="46" t="s">
        <v>116</v>
      </c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</row>
    <row r="176" ht="15.75" customHeight="1">
      <c r="A176" s="89"/>
      <c r="B176" s="92" t="s">
        <v>629</v>
      </c>
      <c r="C176" s="93" t="s">
        <v>630</v>
      </c>
      <c r="D176" s="114"/>
      <c r="E176" s="115" t="s">
        <v>631</v>
      </c>
      <c r="F176" s="115" t="s">
        <v>632</v>
      </c>
      <c r="G176" s="117">
        <v>45975.0</v>
      </c>
      <c r="H176" s="89"/>
      <c r="I176" s="79">
        <v>1.02E7</v>
      </c>
      <c r="J176" s="79">
        <v>1122000.0</v>
      </c>
      <c r="K176" s="64"/>
      <c r="L176" s="64">
        <f t="shared" ref="L176:L179" si="22">I176+J176</f>
        <v>11322000</v>
      </c>
      <c r="M176" s="66"/>
      <c r="N176" s="69" t="s">
        <v>633</v>
      </c>
      <c r="O176" s="46" t="s">
        <v>116</v>
      </c>
      <c r="P176" s="46" t="s">
        <v>634</v>
      </c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</row>
    <row r="177" ht="15.75" customHeight="1">
      <c r="A177" s="89"/>
      <c r="B177" s="92" t="s">
        <v>635</v>
      </c>
      <c r="C177" s="93" t="s">
        <v>636</v>
      </c>
      <c r="D177" s="114"/>
      <c r="E177" s="115" t="s">
        <v>637</v>
      </c>
      <c r="F177" s="115" t="s">
        <v>638</v>
      </c>
      <c r="G177" s="117">
        <v>45975.0</v>
      </c>
      <c r="H177" s="89"/>
      <c r="I177" s="79">
        <v>8142210.0</v>
      </c>
      <c r="J177" s="79">
        <v>895643.0</v>
      </c>
      <c r="K177" s="64"/>
      <c r="L177" s="64">
        <f t="shared" si="22"/>
        <v>9037853</v>
      </c>
      <c r="M177" s="66"/>
      <c r="N177" s="69" t="s">
        <v>639</v>
      </c>
      <c r="O177" s="46" t="s">
        <v>116</v>
      </c>
      <c r="P177" s="69" t="s">
        <v>640</v>
      </c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</row>
    <row r="178" ht="15.75" customHeight="1">
      <c r="A178" s="89"/>
      <c r="B178" s="92" t="s">
        <v>641</v>
      </c>
      <c r="C178" s="93" t="s">
        <v>642</v>
      </c>
      <c r="D178" s="114"/>
      <c r="E178" s="115" t="s">
        <v>643</v>
      </c>
      <c r="F178" s="115" t="s">
        <v>644</v>
      </c>
      <c r="G178" s="117">
        <v>45975.0</v>
      </c>
      <c r="H178" s="89"/>
      <c r="I178" s="79">
        <v>780000.0</v>
      </c>
      <c r="J178" s="79">
        <v>85800.0</v>
      </c>
      <c r="K178" s="64"/>
      <c r="L178" s="126">
        <f t="shared" si="22"/>
        <v>865800</v>
      </c>
      <c r="M178" s="66"/>
      <c r="N178" s="69" t="s">
        <v>645</v>
      </c>
      <c r="O178" s="46" t="s">
        <v>116</v>
      </c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</row>
    <row r="179" ht="15.75" customHeight="1">
      <c r="A179" s="89"/>
      <c r="B179" s="92" t="s">
        <v>323</v>
      </c>
      <c r="C179" s="93" t="s">
        <v>646</v>
      </c>
      <c r="D179" s="114"/>
      <c r="E179" s="115" t="s">
        <v>643</v>
      </c>
      <c r="F179" s="115" t="s">
        <v>647</v>
      </c>
      <c r="G179" s="117">
        <v>45975.0</v>
      </c>
      <c r="H179" s="89"/>
      <c r="I179" s="79">
        <v>270270.0</v>
      </c>
      <c r="J179" s="79">
        <v>29730.0</v>
      </c>
      <c r="K179" s="64"/>
      <c r="L179" s="64">
        <f t="shared" si="22"/>
        <v>300000</v>
      </c>
      <c r="M179" s="66"/>
      <c r="N179" s="69" t="s">
        <v>648</v>
      </c>
      <c r="O179" s="46" t="s">
        <v>116</v>
      </c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</row>
    <row r="180" ht="15.75" customHeight="1">
      <c r="A180" s="89"/>
      <c r="B180" s="114"/>
      <c r="C180" s="93" t="s">
        <v>649</v>
      </c>
      <c r="D180" s="114"/>
      <c r="E180" s="115" t="s">
        <v>643</v>
      </c>
      <c r="F180" s="114"/>
      <c r="G180" s="117">
        <v>45975.0</v>
      </c>
      <c r="H180" s="89"/>
      <c r="I180" s="79">
        <v>216500.0</v>
      </c>
      <c r="J180" s="64"/>
      <c r="K180" s="64"/>
      <c r="L180" s="126">
        <f t="shared" ref="L180:L182" si="23">I180</f>
        <v>216500</v>
      </c>
      <c r="M180" s="66"/>
      <c r="N180" s="69" t="s">
        <v>650</v>
      </c>
      <c r="O180" s="46" t="s">
        <v>116</v>
      </c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</row>
    <row r="181" ht="15.75" customHeight="1">
      <c r="A181" s="89"/>
      <c r="B181" s="114"/>
      <c r="C181" s="93" t="s">
        <v>651</v>
      </c>
      <c r="D181" s="114"/>
      <c r="E181" s="115" t="s">
        <v>643</v>
      </c>
      <c r="F181" s="114"/>
      <c r="G181" s="117">
        <v>45975.0</v>
      </c>
      <c r="H181" s="89"/>
      <c r="I181" s="79">
        <v>321600.0</v>
      </c>
      <c r="J181" s="64"/>
      <c r="K181" s="64"/>
      <c r="L181" s="126">
        <f t="shared" si="23"/>
        <v>321600</v>
      </c>
      <c r="M181" s="66"/>
      <c r="N181" s="69" t="s">
        <v>652</v>
      </c>
      <c r="O181" s="46" t="s">
        <v>116</v>
      </c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</row>
    <row r="182" ht="15.75" customHeight="1">
      <c r="A182" s="89"/>
      <c r="B182" s="114"/>
      <c r="C182" s="93" t="s">
        <v>653</v>
      </c>
      <c r="D182" s="114"/>
      <c r="E182" s="115" t="s">
        <v>654</v>
      </c>
      <c r="F182" s="114"/>
      <c r="G182" s="117">
        <v>45978.0</v>
      </c>
      <c r="H182" s="89"/>
      <c r="I182" s="79">
        <v>5778479.0</v>
      </c>
      <c r="J182" s="64"/>
      <c r="K182" s="64"/>
      <c r="L182" s="126">
        <f t="shared" si="23"/>
        <v>5778479</v>
      </c>
      <c r="M182" s="66"/>
      <c r="N182" s="69" t="s">
        <v>654</v>
      </c>
      <c r="O182" s="46" t="s">
        <v>116</v>
      </c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</row>
    <row r="183" ht="15.75" customHeight="1">
      <c r="A183" s="89"/>
      <c r="B183" s="114"/>
      <c r="C183" s="93" t="s">
        <v>655</v>
      </c>
      <c r="D183" s="114"/>
      <c r="E183" s="115" t="s">
        <v>656</v>
      </c>
      <c r="F183" s="114"/>
      <c r="G183" s="117">
        <v>45979.0</v>
      </c>
      <c r="H183" s="89"/>
      <c r="I183" s="79">
        <v>3452000.0</v>
      </c>
      <c r="J183" s="64"/>
      <c r="K183" s="64"/>
      <c r="L183" s="79">
        <v>3452000.0</v>
      </c>
      <c r="M183" s="66"/>
      <c r="N183" s="69" t="s">
        <v>657</v>
      </c>
      <c r="O183" s="46" t="s">
        <v>116</v>
      </c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</row>
    <row r="184" ht="15.75" customHeight="1">
      <c r="A184" s="89"/>
      <c r="B184" s="114"/>
      <c r="C184" s="93" t="s">
        <v>658</v>
      </c>
      <c r="D184" s="114"/>
      <c r="E184" s="114"/>
      <c r="F184" s="114"/>
      <c r="G184" s="117">
        <v>45979.0</v>
      </c>
      <c r="H184" s="89"/>
      <c r="I184" s="79">
        <v>124630.0</v>
      </c>
      <c r="J184" s="64"/>
      <c r="K184" s="64"/>
      <c r="L184" s="79">
        <v>124630.0</v>
      </c>
      <c r="M184" s="66"/>
      <c r="N184" s="69" t="s">
        <v>659</v>
      </c>
      <c r="O184" s="46" t="s">
        <v>116</v>
      </c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</row>
    <row r="185" ht="15.75" customHeight="1">
      <c r="A185" s="89"/>
      <c r="B185" s="114"/>
      <c r="C185" s="93" t="s">
        <v>660</v>
      </c>
      <c r="D185" s="114"/>
      <c r="E185" s="114"/>
      <c r="F185" s="114"/>
      <c r="G185" s="117">
        <v>45979.0</v>
      </c>
      <c r="H185" s="89"/>
      <c r="I185" s="79">
        <v>2121000.0</v>
      </c>
      <c r="J185" s="64"/>
      <c r="K185" s="64"/>
      <c r="L185" s="79">
        <v>2121000.0</v>
      </c>
      <c r="M185" s="66"/>
      <c r="N185" s="69" t="s">
        <v>661</v>
      </c>
      <c r="O185" s="46" t="s">
        <v>116</v>
      </c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</row>
    <row r="186" ht="15.75" customHeight="1">
      <c r="A186" s="89"/>
      <c r="B186" s="114"/>
      <c r="C186" s="93" t="s">
        <v>513</v>
      </c>
      <c r="D186" s="114"/>
      <c r="E186" s="114"/>
      <c r="F186" s="114"/>
      <c r="G186" s="117">
        <v>45979.0</v>
      </c>
      <c r="H186" s="89"/>
      <c r="I186" s="64"/>
      <c r="J186" s="64"/>
      <c r="K186" s="64"/>
      <c r="L186" s="79">
        <v>5000000.0</v>
      </c>
      <c r="M186" s="66"/>
      <c r="N186" s="48"/>
      <c r="O186" s="46" t="s">
        <v>116</v>
      </c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</row>
    <row r="187" ht="15.75" customHeight="1">
      <c r="A187" s="89"/>
      <c r="B187" s="114"/>
      <c r="C187" s="93" t="s">
        <v>662</v>
      </c>
      <c r="D187" s="114"/>
      <c r="E187" s="115" t="s">
        <v>663</v>
      </c>
      <c r="F187" s="114"/>
      <c r="G187" s="117">
        <v>45979.0</v>
      </c>
      <c r="H187" s="89"/>
      <c r="I187" s="79">
        <v>876000.0</v>
      </c>
      <c r="J187" s="64"/>
      <c r="K187" s="64"/>
      <c r="L187" s="79">
        <v>876000.0</v>
      </c>
      <c r="M187" s="66"/>
      <c r="N187" s="69" t="s">
        <v>664</v>
      </c>
      <c r="O187" s="46" t="s">
        <v>116</v>
      </c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</row>
    <row r="188" ht="15.75" customHeight="1">
      <c r="A188" s="89"/>
      <c r="B188" s="114"/>
      <c r="C188" s="93" t="s">
        <v>665</v>
      </c>
      <c r="D188" s="114"/>
      <c r="E188" s="114"/>
      <c r="F188" s="114"/>
      <c r="G188" s="117">
        <v>45980.0</v>
      </c>
      <c r="H188" s="89"/>
      <c r="I188" s="79">
        <v>7.875E7</v>
      </c>
      <c r="J188" s="64"/>
      <c r="K188" s="64"/>
      <c r="L188" s="79">
        <v>7.875E7</v>
      </c>
      <c r="N188" s="69" t="s">
        <v>666</v>
      </c>
      <c r="O188" s="46" t="s">
        <v>116</v>
      </c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</row>
    <row r="189" ht="15.75" customHeight="1">
      <c r="A189" s="89"/>
      <c r="B189" s="114"/>
      <c r="C189" s="93" t="s">
        <v>667</v>
      </c>
      <c r="D189" s="114"/>
      <c r="E189" s="114"/>
      <c r="F189" s="114"/>
      <c r="G189" s="117">
        <v>45980.0</v>
      </c>
      <c r="H189" s="89"/>
      <c r="I189" s="79">
        <v>500000.0</v>
      </c>
      <c r="J189" s="64"/>
      <c r="K189" s="64"/>
      <c r="L189" s="79">
        <v>500000.0</v>
      </c>
      <c r="M189" s="66"/>
      <c r="N189" s="69" t="s">
        <v>668</v>
      </c>
      <c r="O189" s="46" t="s">
        <v>116</v>
      </c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</row>
    <row r="190" ht="15.75" customHeight="1">
      <c r="A190" s="89"/>
      <c r="B190" s="114"/>
      <c r="C190" s="93" t="s">
        <v>669</v>
      </c>
      <c r="D190" s="114"/>
      <c r="E190" s="115" t="s">
        <v>670</v>
      </c>
      <c r="F190" s="115" t="s">
        <v>361</v>
      </c>
      <c r="G190" s="117">
        <v>45980.0</v>
      </c>
      <c r="H190" s="89"/>
      <c r="I190" s="79">
        <v>5378380.0</v>
      </c>
      <c r="J190" s="79">
        <v>591662.0</v>
      </c>
      <c r="K190" s="64"/>
      <c r="L190" s="64">
        <f>I190+J190</f>
        <v>5970042</v>
      </c>
      <c r="M190" s="66"/>
      <c r="N190" s="69" t="s">
        <v>671</v>
      </c>
      <c r="O190" s="46" t="s">
        <v>116</v>
      </c>
      <c r="P190" s="69" t="s">
        <v>672</v>
      </c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</row>
    <row r="191" ht="15.75" customHeight="1">
      <c r="A191" s="89"/>
      <c r="B191" s="92" t="s">
        <v>132</v>
      </c>
      <c r="C191" s="93" t="s">
        <v>673</v>
      </c>
      <c r="D191" s="114"/>
      <c r="E191" s="115" t="s">
        <v>674</v>
      </c>
      <c r="F191" s="115" t="s">
        <v>675</v>
      </c>
      <c r="G191" s="92" t="s">
        <v>362</v>
      </c>
      <c r="H191" s="89"/>
      <c r="I191" s="79">
        <v>3961160.0</v>
      </c>
      <c r="J191" s="64"/>
      <c r="K191" s="64"/>
      <c r="L191" s="79">
        <v>3961160.0</v>
      </c>
      <c r="M191" s="66"/>
      <c r="N191" s="46"/>
      <c r="O191" s="48"/>
      <c r="P191" s="46" t="s">
        <v>676</v>
      </c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</row>
    <row r="192" ht="15.75" customHeight="1">
      <c r="A192" s="89"/>
      <c r="B192" s="92" t="s">
        <v>132</v>
      </c>
      <c r="C192" s="93" t="s">
        <v>677</v>
      </c>
      <c r="D192" s="114"/>
      <c r="E192" s="115" t="s">
        <v>678</v>
      </c>
      <c r="F192" s="115" t="s">
        <v>679</v>
      </c>
      <c r="G192" s="92" t="s">
        <v>362</v>
      </c>
      <c r="H192" s="89"/>
      <c r="I192" s="79">
        <v>6750000.0</v>
      </c>
      <c r="J192" s="64"/>
      <c r="K192" s="64"/>
      <c r="L192" s="79">
        <v>6750000.0</v>
      </c>
      <c r="M192" s="66"/>
      <c r="N192" s="69" t="s">
        <v>680</v>
      </c>
      <c r="O192" s="46" t="s">
        <v>116</v>
      </c>
      <c r="P192" s="69" t="s">
        <v>681</v>
      </c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</row>
    <row r="193" ht="15.75" customHeight="1">
      <c r="A193" s="89"/>
      <c r="B193" s="92" t="s">
        <v>132</v>
      </c>
      <c r="C193" s="93" t="s">
        <v>682</v>
      </c>
      <c r="D193" s="114"/>
      <c r="E193" s="115" t="s">
        <v>683</v>
      </c>
      <c r="F193" s="115" t="s">
        <v>684</v>
      </c>
      <c r="G193" s="92" t="s">
        <v>362</v>
      </c>
      <c r="H193" s="89"/>
      <c r="I193" s="79">
        <v>656581.0</v>
      </c>
      <c r="J193" s="79">
        <v>72224.0</v>
      </c>
      <c r="K193" s="64"/>
      <c r="L193" s="79">
        <f>I193+J193</f>
        <v>728805</v>
      </c>
      <c r="M193" s="66"/>
      <c r="N193" s="69" t="s">
        <v>685</v>
      </c>
      <c r="O193" s="46" t="s">
        <v>116</v>
      </c>
      <c r="P193" s="69" t="s">
        <v>686</v>
      </c>
      <c r="Q193" s="46" t="s">
        <v>687</v>
      </c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</row>
    <row r="194" ht="15.75" customHeight="1">
      <c r="A194" s="89"/>
      <c r="B194" s="92" t="s">
        <v>688</v>
      </c>
      <c r="C194" s="93" t="s">
        <v>689</v>
      </c>
      <c r="D194" s="114"/>
      <c r="E194" s="115" t="s">
        <v>690</v>
      </c>
      <c r="F194" s="115" t="s">
        <v>691</v>
      </c>
      <c r="G194" s="118"/>
      <c r="H194" s="89"/>
      <c r="I194" s="79">
        <v>600000.0</v>
      </c>
      <c r="J194" s="64"/>
      <c r="K194" s="64"/>
      <c r="L194" s="79">
        <v>600000.0</v>
      </c>
      <c r="M194" s="66"/>
      <c r="N194" s="69" t="s">
        <v>692</v>
      </c>
      <c r="O194" s="46" t="s">
        <v>116</v>
      </c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</row>
    <row r="195" ht="15.75" customHeight="1">
      <c r="A195" s="89"/>
      <c r="B195" s="92" t="s">
        <v>307</v>
      </c>
      <c r="C195" s="93" t="s">
        <v>693</v>
      </c>
      <c r="D195" s="114"/>
      <c r="E195" s="115" t="s">
        <v>694</v>
      </c>
      <c r="F195" s="115" t="s">
        <v>695</v>
      </c>
      <c r="G195" s="118"/>
      <c r="H195" s="89"/>
      <c r="I195" s="79">
        <v>1.1575418E7</v>
      </c>
      <c r="J195" s="79">
        <v>1273296.0</v>
      </c>
      <c r="K195" s="64"/>
      <c r="L195" s="64">
        <f>I195+J195</f>
        <v>12848714</v>
      </c>
      <c r="M195" s="66"/>
      <c r="N195" s="69" t="s">
        <v>696</v>
      </c>
      <c r="O195" s="46" t="s">
        <v>116</v>
      </c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</row>
    <row r="196" ht="15.75" customHeight="1">
      <c r="A196" s="89"/>
      <c r="B196" s="92" t="s">
        <v>697</v>
      </c>
      <c r="C196" s="93" t="s">
        <v>698</v>
      </c>
      <c r="D196" s="114"/>
      <c r="E196" s="115" t="s">
        <v>694</v>
      </c>
      <c r="F196" s="115" t="s">
        <v>699</v>
      </c>
      <c r="G196" s="92" t="s">
        <v>700</v>
      </c>
      <c r="H196" s="89"/>
      <c r="I196" s="127">
        <v>1.675E7</v>
      </c>
      <c r="J196" s="64"/>
      <c r="K196" s="64"/>
      <c r="L196" s="64">
        <f>I196</f>
        <v>16750000</v>
      </c>
      <c r="M196" s="66"/>
      <c r="N196" s="69" t="s">
        <v>701</v>
      </c>
      <c r="O196" s="46" t="s">
        <v>116</v>
      </c>
      <c r="P196" s="48"/>
      <c r="Q196" s="46" t="s">
        <v>702</v>
      </c>
      <c r="R196" s="48"/>
      <c r="S196" s="48"/>
      <c r="T196" s="48"/>
      <c r="U196" s="83">
        <v>3850000.0</v>
      </c>
      <c r="V196" s="83">
        <v>1.29E7</v>
      </c>
      <c r="W196" s="48"/>
      <c r="X196" s="48"/>
      <c r="Y196" s="48"/>
      <c r="Z196" s="48"/>
      <c r="AA196" s="48"/>
      <c r="AB196" s="48"/>
    </row>
    <row r="197" ht="15.75" customHeight="1">
      <c r="A197" s="89"/>
      <c r="B197" s="92" t="s">
        <v>591</v>
      </c>
      <c r="C197" s="93" t="s">
        <v>698</v>
      </c>
      <c r="D197" s="114"/>
      <c r="E197" s="115" t="s">
        <v>694</v>
      </c>
      <c r="F197" s="115" t="s">
        <v>703</v>
      </c>
      <c r="G197" s="117">
        <v>45985.0</v>
      </c>
      <c r="H197" s="89"/>
      <c r="I197" s="127">
        <v>3378378.0</v>
      </c>
      <c r="J197" s="79">
        <v>371621.0</v>
      </c>
      <c r="K197" s="64"/>
      <c r="L197" s="79">
        <f>I197+J197</f>
        <v>3749999</v>
      </c>
      <c r="M197" s="128"/>
      <c r="N197" s="69" t="s">
        <v>704</v>
      </c>
      <c r="O197" s="46" t="s">
        <v>116</v>
      </c>
      <c r="P197" s="46" t="s">
        <v>508</v>
      </c>
      <c r="Q197" s="46" t="s">
        <v>705</v>
      </c>
      <c r="R197" s="48"/>
      <c r="S197" s="48"/>
      <c r="T197" s="48"/>
      <c r="U197" s="83">
        <v>11900.0</v>
      </c>
      <c r="V197" s="83">
        <f>60000*258</f>
        <v>15480000</v>
      </c>
      <c r="W197" s="48"/>
      <c r="X197" s="48"/>
      <c r="Y197" s="48"/>
      <c r="Z197" s="48"/>
      <c r="AA197" s="48"/>
      <c r="AB197" s="48"/>
    </row>
    <row r="198" ht="15.75" customHeight="1">
      <c r="A198" s="89"/>
      <c r="B198" s="114"/>
      <c r="C198" s="93" t="s">
        <v>706</v>
      </c>
      <c r="D198" s="114"/>
      <c r="E198" s="115" t="s">
        <v>694</v>
      </c>
      <c r="F198" s="114"/>
      <c r="G198" s="118"/>
      <c r="H198" s="89"/>
      <c r="I198" s="79">
        <v>75500.0</v>
      </c>
      <c r="J198" s="64"/>
      <c r="K198" s="64"/>
      <c r="L198" s="79">
        <v>75500.0</v>
      </c>
      <c r="M198" s="66"/>
      <c r="N198" s="69" t="s">
        <v>707</v>
      </c>
      <c r="O198" s="46" t="s">
        <v>116</v>
      </c>
      <c r="P198" s="48"/>
      <c r="Q198" s="48"/>
      <c r="R198" s="48"/>
      <c r="S198" s="48"/>
      <c r="T198" s="48"/>
      <c r="U198" s="84">
        <f>U197*350</f>
        <v>4165000</v>
      </c>
      <c r="V198" s="84">
        <f>V197-V196</f>
        <v>2580000</v>
      </c>
      <c r="W198" s="48"/>
      <c r="X198" s="48"/>
      <c r="Y198" s="48"/>
      <c r="Z198" s="48"/>
      <c r="AA198" s="48"/>
      <c r="AB198" s="48"/>
    </row>
    <row r="199" ht="15.75" customHeight="1">
      <c r="A199" s="89"/>
      <c r="B199" s="114"/>
      <c r="C199" s="93" t="s">
        <v>708</v>
      </c>
      <c r="D199" s="114"/>
      <c r="E199" s="115" t="s">
        <v>694</v>
      </c>
      <c r="F199" s="114"/>
      <c r="G199" s="118"/>
      <c r="H199" s="89"/>
      <c r="I199" s="79">
        <v>587000.0</v>
      </c>
      <c r="J199" s="64"/>
      <c r="K199" s="64"/>
      <c r="L199" s="79">
        <v>587000.0</v>
      </c>
      <c r="M199" s="66"/>
      <c r="N199" s="69" t="s">
        <v>709</v>
      </c>
      <c r="O199" s="46" t="s">
        <v>116</v>
      </c>
      <c r="P199" s="48"/>
      <c r="Q199" s="48"/>
      <c r="R199" s="48"/>
      <c r="S199" s="48"/>
      <c r="T199" s="48"/>
      <c r="U199" s="84">
        <f>U198-U196</f>
        <v>315000</v>
      </c>
      <c r="V199" s="48"/>
      <c r="W199" s="48"/>
      <c r="X199" s="48"/>
      <c r="Y199" s="48"/>
      <c r="Z199" s="48"/>
      <c r="AA199" s="48"/>
      <c r="AB199" s="48"/>
    </row>
    <row r="200" ht="15.75" customHeight="1">
      <c r="A200" s="89"/>
      <c r="B200" s="114"/>
      <c r="C200" s="93" t="s">
        <v>710</v>
      </c>
      <c r="D200" s="114"/>
      <c r="E200" s="115" t="s">
        <v>694</v>
      </c>
      <c r="F200" s="114"/>
      <c r="G200" s="118"/>
      <c r="H200" s="89"/>
      <c r="I200" s="79">
        <v>552000.0</v>
      </c>
      <c r="J200" s="64"/>
      <c r="K200" s="64"/>
      <c r="L200" s="79">
        <v>552000.0</v>
      </c>
      <c r="M200" s="66"/>
      <c r="N200" s="69" t="s">
        <v>711</v>
      </c>
      <c r="O200" s="46" t="s">
        <v>116</v>
      </c>
      <c r="P200" s="48"/>
      <c r="Q200" s="48"/>
      <c r="R200" s="48"/>
      <c r="S200" s="48"/>
      <c r="T200" s="48"/>
      <c r="U200" s="129">
        <f>U199/U198</f>
        <v>0.0756302521</v>
      </c>
      <c r="V200" s="130">
        <f>V198/V197</f>
        <v>0.1666666667</v>
      </c>
      <c r="W200" s="48"/>
      <c r="X200" s="48"/>
      <c r="Y200" s="48"/>
      <c r="Z200" s="48"/>
      <c r="AA200" s="48"/>
      <c r="AB200" s="48"/>
    </row>
    <row r="201" ht="15.75" customHeight="1">
      <c r="A201" s="89"/>
      <c r="B201" s="114"/>
      <c r="C201" s="93" t="s">
        <v>712</v>
      </c>
      <c r="D201" s="114"/>
      <c r="E201" s="115" t="s">
        <v>694</v>
      </c>
      <c r="F201" s="114"/>
      <c r="G201" s="118"/>
      <c r="I201" s="79">
        <v>970820.0</v>
      </c>
      <c r="J201" s="64"/>
      <c r="K201" s="64"/>
      <c r="L201" s="79">
        <v>970820.0</v>
      </c>
      <c r="M201" s="66"/>
      <c r="N201" s="69" t="s">
        <v>713</v>
      </c>
      <c r="O201" s="46" t="s">
        <v>116</v>
      </c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</row>
    <row r="202" ht="15.75" customHeight="1">
      <c r="A202" s="89"/>
      <c r="B202" s="114"/>
      <c r="C202" s="93" t="s">
        <v>714</v>
      </c>
      <c r="D202" s="114"/>
      <c r="E202" s="115" t="s">
        <v>694</v>
      </c>
      <c r="F202" s="115" t="s">
        <v>715</v>
      </c>
      <c r="G202" s="118"/>
      <c r="H202" s="89"/>
      <c r="I202" s="79">
        <v>1.3400904E7</v>
      </c>
      <c r="J202" s="79">
        <v>1474099.0</v>
      </c>
      <c r="K202" s="64"/>
      <c r="L202" s="64">
        <f t="shared" ref="L202:L203" si="24">I202+J202</f>
        <v>14875003</v>
      </c>
      <c r="M202" s="66"/>
      <c r="N202" s="69" t="s">
        <v>716</v>
      </c>
      <c r="O202" s="46" t="s">
        <v>116</v>
      </c>
      <c r="P202" s="48"/>
      <c r="Q202" s="46" t="s">
        <v>717</v>
      </c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</row>
    <row r="203" ht="15.75" customHeight="1">
      <c r="A203" s="89"/>
      <c r="B203" s="114"/>
      <c r="C203" s="93" t="s">
        <v>718</v>
      </c>
      <c r="D203" s="114"/>
      <c r="E203" s="115" t="s">
        <v>694</v>
      </c>
      <c r="F203" s="115" t="s">
        <v>719</v>
      </c>
      <c r="G203" s="118"/>
      <c r="H203" s="89"/>
      <c r="I203" s="79">
        <v>3662702.0</v>
      </c>
      <c r="J203" s="79">
        <v>402897.0</v>
      </c>
      <c r="K203" s="64"/>
      <c r="L203" s="64">
        <f t="shared" si="24"/>
        <v>4065599</v>
      </c>
      <c r="M203" s="66"/>
      <c r="N203" s="69" t="s">
        <v>720</v>
      </c>
      <c r="O203" s="46" t="s">
        <v>116</v>
      </c>
      <c r="P203" s="46" t="s">
        <v>508</v>
      </c>
      <c r="Q203" s="46" t="s">
        <v>721</v>
      </c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</row>
    <row r="204" ht="15.75" customHeight="1">
      <c r="A204" s="89"/>
      <c r="B204" s="114"/>
      <c r="C204" s="93" t="s">
        <v>722</v>
      </c>
      <c r="D204" s="114"/>
      <c r="E204" s="115" t="s">
        <v>694</v>
      </c>
      <c r="F204" s="114"/>
      <c r="G204" s="118"/>
      <c r="H204" s="89"/>
      <c r="I204" s="79">
        <v>258000.0</v>
      </c>
      <c r="J204" s="64"/>
      <c r="K204" s="64"/>
      <c r="L204" s="79">
        <v>258000.0</v>
      </c>
      <c r="M204" s="66"/>
      <c r="N204" s="69" t="s">
        <v>723</v>
      </c>
      <c r="O204" s="46" t="s">
        <v>116</v>
      </c>
      <c r="P204" s="48"/>
      <c r="Q204" s="46" t="s">
        <v>724</v>
      </c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</row>
    <row r="205" ht="15.75" customHeight="1">
      <c r="A205" s="89"/>
      <c r="B205" s="114"/>
      <c r="C205" s="93" t="s">
        <v>725</v>
      </c>
      <c r="D205" s="114"/>
      <c r="E205" s="115" t="s">
        <v>694</v>
      </c>
      <c r="F205" s="114"/>
      <c r="G205" s="118"/>
      <c r="H205" s="89"/>
      <c r="I205" s="79">
        <v>324000.0</v>
      </c>
      <c r="J205" s="64"/>
      <c r="K205" s="64"/>
      <c r="L205" s="79">
        <v>324000.0</v>
      </c>
      <c r="M205" s="66"/>
      <c r="N205" s="69" t="s">
        <v>726</v>
      </c>
      <c r="O205" s="46" t="s">
        <v>116</v>
      </c>
      <c r="P205" s="48"/>
      <c r="Q205" s="46" t="s">
        <v>727</v>
      </c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</row>
    <row r="206" ht="15.75" customHeight="1">
      <c r="A206" s="89"/>
      <c r="B206" s="114"/>
      <c r="C206" s="93" t="s">
        <v>728</v>
      </c>
      <c r="D206" s="114"/>
      <c r="E206" s="115" t="s">
        <v>694</v>
      </c>
      <c r="F206" s="114"/>
      <c r="G206" s="118"/>
      <c r="H206" s="89"/>
      <c r="I206" s="79">
        <v>433400.0</v>
      </c>
      <c r="J206" s="64"/>
      <c r="K206" s="64"/>
      <c r="L206" s="79">
        <v>433400.0</v>
      </c>
      <c r="M206" s="66"/>
      <c r="N206" s="69" t="s">
        <v>729</v>
      </c>
      <c r="O206" s="46" t="s">
        <v>116</v>
      </c>
      <c r="P206" s="48"/>
      <c r="Q206" s="46" t="s">
        <v>730</v>
      </c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</row>
    <row r="207" ht="15.75" customHeight="1">
      <c r="A207" s="89"/>
      <c r="B207" s="114"/>
      <c r="C207" s="93" t="s">
        <v>731</v>
      </c>
      <c r="D207" s="114"/>
      <c r="E207" s="115" t="s">
        <v>694</v>
      </c>
      <c r="F207" s="114"/>
      <c r="G207" s="118"/>
      <c r="H207" s="89"/>
      <c r="I207" s="79">
        <v>666500.0</v>
      </c>
      <c r="J207" s="64"/>
      <c r="K207" s="64"/>
      <c r="L207" s="79">
        <v>666500.0</v>
      </c>
      <c r="M207" s="66"/>
      <c r="N207" s="69" t="s">
        <v>732</v>
      </c>
      <c r="O207" s="46" t="s">
        <v>116</v>
      </c>
      <c r="P207" s="48"/>
      <c r="Q207" s="46" t="s">
        <v>733</v>
      </c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</row>
    <row r="208" ht="15.75" customHeight="1">
      <c r="A208" s="89"/>
      <c r="B208" s="114"/>
      <c r="C208" s="93" t="s">
        <v>734</v>
      </c>
      <c r="D208" s="114"/>
      <c r="E208" s="115" t="s">
        <v>694</v>
      </c>
      <c r="F208" s="114"/>
      <c r="G208" s="118"/>
      <c r="H208" s="89"/>
      <c r="I208" s="79">
        <v>80402.0</v>
      </c>
      <c r="J208" s="64"/>
      <c r="K208" s="64"/>
      <c r="L208" s="79">
        <v>80402.0</v>
      </c>
      <c r="M208" s="66"/>
      <c r="N208" s="69" t="s">
        <v>735</v>
      </c>
      <c r="O208" s="46" t="s">
        <v>116</v>
      </c>
      <c r="P208" s="48"/>
      <c r="Q208" s="46" t="s">
        <v>736</v>
      </c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</row>
    <row r="209" ht="15.75" customHeight="1">
      <c r="A209" s="89"/>
      <c r="B209" s="114"/>
      <c r="C209" s="93" t="s">
        <v>513</v>
      </c>
      <c r="D209" s="114"/>
      <c r="E209" s="92"/>
      <c r="F209" s="114"/>
      <c r="G209" s="118"/>
      <c r="H209" s="89"/>
      <c r="I209" s="79">
        <v>5000000.0</v>
      </c>
      <c r="J209" s="64"/>
      <c r="K209" s="64"/>
      <c r="L209" s="79">
        <v>5000000.0</v>
      </c>
      <c r="M209" s="66"/>
      <c r="N209" s="48"/>
      <c r="O209" s="46" t="s">
        <v>116</v>
      </c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</row>
    <row r="210" ht="15.75" customHeight="1">
      <c r="A210" s="89"/>
      <c r="B210" s="114"/>
      <c r="C210" s="93" t="s">
        <v>737</v>
      </c>
      <c r="D210" s="114"/>
      <c r="E210" s="115" t="s">
        <v>738</v>
      </c>
      <c r="F210" s="115" t="s">
        <v>739</v>
      </c>
      <c r="G210" s="118"/>
      <c r="H210" s="89"/>
      <c r="I210" s="79">
        <v>125000.0</v>
      </c>
      <c r="J210" s="79">
        <v>13750.0</v>
      </c>
      <c r="K210" s="64"/>
      <c r="L210" s="79">
        <f t="shared" ref="L210:L211" si="25">I210+J210</f>
        <v>138750</v>
      </c>
      <c r="M210" s="66"/>
      <c r="N210" s="69" t="s">
        <v>740</v>
      </c>
      <c r="O210" s="46" t="s">
        <v>116</v>
      </c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</row>
    <row r="211" ht="15.75" customHeight="1">
      <c r="A211" s="89"/>
      <c r="B211" s="114"/>
      <c r="C211" s="93" t="s">
        <v>741</v>
      </c>
      <c r="D211" s="114"/>
      <c r="E211" s="115" t="s">
        <v>694</v>
      </c>
      <c r="F211" s="69" t="s">
        <v>742</v>
      </c>
      <c r="G211" s="118"/>
      <c r="H211" s="89"/>
      <c r="I211" s="79">
        <v>652000.0</v>
      </c>
      <c r="J211" s="79">
        <v>71720.0</v>
      </c>
      <c r="K211" s="64"/>
      <c r="L211" s="64">
        <f t="shared" si="25"/>
        <v>723720</v>
      </c>
      <c r="M211" s="66"/>
      <c r="N211" s="69" t="s">
        <v>743</v>
      </c>
      <c r="O211" s="46" t="s">
        <v>116</v>
      </c>
      <c r="P211" s="48"/>
      <c r="Q211" s="46" t="s">
        <v>744</v>
      </c>
      <c r="R211" s="48"/>
      <c r="S211" s="46" t="s">
        <v>745</v>
      </c>
      <c r="T211" s="48"/>
      <c r="U211" s="48"/>
      <c r="V211" s="48"/>
      <c r="W211" s="48"/>
      <c r="X211" s="48"/>
      <c r="Y211" s="48"/>
      <c r="Z211" s="48"/>
      <c r="AA211" s="48"/>
      <c r="AB211" s="48"/>
    </row>
    <row r="212" ht="15.75" customHeight="1">
      <c r="A212" s="89"/>
      <c r="B212" s="114"/>
      <c r="C212" s="93" t="s">
        <v>746</v>
      </c>
      <c r="D212" s="114"/>
      <c r="E212" s="115" t="s">
        <v>694</v>
      </c>
      <c r="F212" s="114"/>
      <c r="G212" s="118"/>
      <c r="H212" s="89"/>
      <c r="I212" s="79">
        <v>167200.0</v>
      </c>
      <c r="J212" s="64"/>
      <c r="K212" s="64"/>
      <c r="L212" s="79">
        <v>167200.0</v>
      </c>
      <c r="M212" s="66"/>
      <c r="N212" s="69" t="s">
        <v>747</v>
      </c>
      <c r="O212" s="46" t="s">
        <v>116</v>
      </c>
      <c r="P212" s="48"/>
      <c r="Q212" s="46" t="s">
        <v>748</v>
      </c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</row>
    <row r="213" ht="15.75" customHeight="1">
      <c r="A213" s="89"/>
      <c r="B213" s="114"/>
      <c r="C213" s="93" t="s">
        <v>749</v>
      </c>
      <c r="D213" s="114"/>
      <c r="E213" s="115" t="s">
        <v>750</v>
      </c>
      <c r="F213" s="115" t="s">
        <v>751</v>
      </c>
      <c r="G213" s="118"/>
      <c r="H213" s="89"/>
      <c r="I213" s="79">
        <v>1117078.0</v>
      </c>
      <c r="J213" s="79">
        <v>122879.0</v>
      </c>
      <c r="K213" s="64"/>
      <c r="L213" s="64">
        <f>I213+J213</f>
        <v>1239957</v>
      </c>
      <c r="M213" s="66"/>
      <c r="N213" s="69" t="s">
        <v>752</v>
      </c>
      <c r="O213" s="46" t="s">
        <v>116</v>
      </c>
      <c r="P213" s="48"/>
      <c r="Q213" s="46" t="s">
        <v>753</v>
      </c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</row>
    <row r="214" ht="15.75" customHeight="1">
      <c r="A214" s="89"/>
      <c r="B214" s="114"/>
      <c r="C214" s="93" t="s">
        <v>754</v>
      </c>
      <c r="D214" s="114"/>
      <c r="E214" s="115" t="s">
        <v>750</v>
      </c>
      <c r="F214" s="114"/>
      <c r="G214" s="118"/>
      <c r="H214" s="89"/>
      <c r="I214" s="79">
        <v>73100.0</v>
      </c>
      <c r="J214" s="64"/>
      <c r="K214" s="64"/>
      <c r="L214" s="79">
        <v>73100.0</v>
      </c>
      <c r="M214" s="66"/>
      <c r="N214" s="69" t="s">
        <v>755</v>
      </c>
      <c r="O214" s="46" t="s">
        <v>116</v>
      </c>
      <c r="P214" s="48"/>
      <c r="Q214" s="46" t="s">
        <v>756</v>
      </c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</row>
    <row r="215" ht="15.75" customHeight="1">
      <c r="A215" s="89"/>
      <c r="B215" s="114"/>
      <c r="C215" s="93" t="s">
        <v>757</v>
      </c>
      <c r="D215" s="114"/>
      <c r="E215" s="115" t="s">
        <v>750</v>
      </c>
      <c r="F215" s="114"/>
      <c r="G215" s="118"/>
      <c r="H215" s="89"/>
      <c r="I215" s="79">
        <v>222130.0</v>
      </c>
      <c r="J215" s="64"/>
      <c r="K215" s="64"/>
      <c r="L215" s="79">
        <v>222130.0</v>
      </c>
      <c r="M215" s="66"/>
      <c r="N215" s="69" t="s">
        <v>758</v>
      </c>
      <c r="O215" s="46" t="s">
        <v>116</v>
      </c>
      <c r="P215" s="48"/>
      <c r="Q215" s="46" t="s">
        <v>759</v>
      </c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</row>
    <row r="216" ht="15.75" customHeight="1">
      <c r="A216" s="89"/>
      <c r="B216" s="114"/>
      <c r="C216" s="93" t="s">
        <v>760</v>
      </c>
      <c r="D216" s="114"/>
      <c r="E216" s="115" t="s">
        <v>750</v>
      </c>
      <c r="F216" s="114"/>
      <c r="G216" s="118"/>
      <c r="H216" s="89"/>
      <c r="I216" s="79">
        <v>244337.0</v>
      </c>
      <c r="J216" s="64"/>
      <c r="K216" s="64"/>
      <c r="L216" s="79">
        <v>244337.0</v>
      </c>
      <c r="M216" s="66"/>
      <c r="N216" s="69" t="s">
        <v>761</v>
      </c>
      <c r="O216" s="46" t="s">
        <v>116</v>
      </c>
      <c r="P216" s="48"/>
      <c r="Q216" s="46" t="s">
        <v>759</v>
      </c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</row>
    <row r="217" ht="15.75" customHeight="1">
      <c r="A217" s="89"/>
      <c r="B217" s="114"/>
      <c r="C217" s="93" t="s">
        <v>762</v>
      </c>
      <c r="D217" s="114"/>
      <c r="E217" s="115" t="s">
        <v>750</v>
      </c>
      <c r="F217" s="114"/>
      <c r="G217" s="118"/>
      <c r="H217" s="89"/>
      <c r="I217" s="79">
        <v>81080.0</v>
      </c>
      <c r="J217" s="64"/>
      <c r="K217" s="64"/>
      <c r="L217" s="79">
        <v>81080.0</v>
      </c>
      <c r="M217" s="66"/>
      <c r="N217" s="69" t="s">
        <v>763</v>
      </c>
      <c r="O217" s="46" t="s">
        <v>116</v>
      </c>
      <c r="P217" s="48"/>
      <c r="Q217" s="46" t="s">
        <v>764</v>
      </c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</row>
    <row r="218" ht="15.75" customHeight="1">
      <c r="A218" s="89"/>
      <c r="B218" s="114"/>
      <c r="C218" s="93" t="s">
        <v>765</v>
      </c>
      <c r="D218" s="114"/>
      <c r="E218" s="114"/>
      <c r="F218" s="114"/>
      <c r="G218" s="118"/>
      <c r="H218" s="89"/>
      <c r="I218" s="79">
        <v>2000000.0</v>
      </c>
      <c r="J218" s="64"/>
      <c r="K218" s="64"/>
      <c r="L218" s="79">
        <v>2000000.0</v>
      </c>
      <c r="M218" s="66"/>
      <c r="N218" s="69" t="s">
        <v>766</v>
      </c>
      <c r="O218" s="48" t="str">
        <f t="shared" ref="O218:O226" si="26">O211</f>
        <v>Approved</v>
      </c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</row>
    <row r="219" ht="15.75" customHeight="1">
      <c r="A219" s="89"/>
      <c r="B219" s="114"/>
      <c r="C219" s="93" t="s">
        <v>767</v>
      </c>
      <c r="D219" s="114"/>
      <c r="E219" s="115" t="s">
        <v>694</v>
      </c>
      <c r="F219" s="115" t="s">
        <v>768</v>
      </c>
      <c r="G219" s="118"/>
      <c r="H219" s="89"/>
      <c r="I219" s="79">
        <v>6519500.0</v>
      </c>
      <c r="J219" s="79">
        <v>717145.0</v>
      </c>
      <c r="K219" s="64"/>
      <c r="L219" s="64">
        <f t="shared" ref="L219:L221" si="27">I219+J219</f>
        <v>7236645</v>
      </c>
      <c r="M219" s="66"/>
      <c r="N219" s="69" t="s">
        <v>769</v>
      </c>
      <c r="O219" s="48" t="str">
        <f t="shared" si="26"/>
        <v>Approved</v>
      </c>
      <c r="P219" s="69" t="s">
        <v>770</v>
      </c>
      <c r="Q219" s="46" t="s">
        <v>771</v>
      </c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</row>
    <row r="220" ht="15.75" customHeight="1">
      <c r="A220" s="89"/>
      <c r="B220" s="114"/>
      <c r="C220" s="93" t="s">
        <v>772</v>
      </c>
      <c r="D220" s="114"/>
      <c r="E220" s="115" t="s">
        <v>773</v>
      </c>
      <c r="F220" s="115" t="s">
        <v>774</v>
      </c>
      <c r="G220" s="118"/>
      <c r="H220" s="89"/>
      <c r="I220" s="79">
        <v>7448649.0</v>
      </c>
      <c r="J220" s="79">
        <v>819351.0</v>
      </c>
      <c r="K220" s="64"/>
      <c r="L220" s="131">
        <f t="shared" si="27"/>
        <v>8268000</v>
      </c>
      <c r="M220" s="66"/>
      <c r="N220" s="69" t="s">
        <v>775</v>
      </c>
      <c r="O220" s="48" t="str">
        <f t="shared" si="26"/>
        <v>Approved</v>
      </c>
      <c r="P220" s="48"/>
      <c r="Q220" s="46" t="s">
        <v>776</v>
      </c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</row>
    <row r="221" ht="15.75" customHeight="1">
      <c r="A221" s="89"/>
      <c r="B221" s="114"/>
      <c r="C221" s="93" t="s">
        <v>777</v>
      </c>
      <c r="D221" s="114"/>
      <c r="E221" s="115" t="s">
        <v>750</v>
      </c>
      <c r="F221" s="115" t="s">
        <v>778</v>
      </c>
      <c r="G221" s="118"/>
      <c r="H221" s="89"/>
      <c r="I221" s="79">
        <v>337825.0</v>
      </c>
      <c r="J221" s="79">
        <v>37161.0</v>
      </c>
      <c r="K221" s="64"/>
      <c r="L221" s="64">
        <f t="shared" si="27"/>
        <v>374986</v>
      </c>
      <c r="M221" s="66"/>
      <c r="N221" s="69" t="s">
        <v>779</v>
      </c>
      <c r="O221" s="48" t="str">
        <f t="shared" si="26"/>
        <v>Approved</v>
      </c>
      <c r="P221" s="48"/>
      <c r="Q221" s="46" t="s">
        <v>780</v>
      </c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</row>
    <row r="222" ht="15.75" customHeight="1">
      <c r="A222" s="89"/>
      <c r="B222" s="114"/>
      <c r="C222" s="93" t="s">
        <v>781</v>
      </c>
      <c r="D222" s="114"/>
      <c r="E222" s="115" t="s">
        <v>674</v>
      </c>
      <c r="F222" s="114"/>
      <c r="G222" s="118"/>
      <c r="H222" s="89"/>
      <c r="I222" s="79">
        <v>67340.0</v>
      </c>
      <c r="J222" s="64"/>
      <c r="K222" s="64"/>
      <c r="L222" s="79">
        <v>67340.0</v>
      </c>
      <c r="M222" s="66"/>
      <c r="N222" s="69" t="s">
        <v>782</v>
      </c>
      <c r="O222" s="48" t="str">
        <f t="shared" si="26"/>
        <v>Approved</v>
      </c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</row>
    <row r="223" ht="15.75" customHeight="1">
      <c r="A223" s="89"/>
      <c r="B223" s="114"/>
      <c r="C223" s="93" t="s">
        <v>783</v>
      </c>
      <c r="D223" s="114"/>
      <c r="E223" s="115" t="s">
        <v>694</v>
      </c>
      <c r="G223" s="118"/>
      <c r="H223" s="89"/>
      <c r="I223" s="79">
        <v>635000.0</v>
      </c>
      <c r="J223" s="64"/>
      <c r="K223" s="64"/>
      <c r="L223" s="79">
        <v>635000.0</v>
      </c>
      <c r="M223" s="66"/>
      <c r="N223" s="69" t="s">
        <v>784</v>
      </c>
      <c r="O223" s="48" t="str">
        <f t="shared" si="26"/>
        <v>Approved</v>
      </c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</row>
    <row r="224" ht="15.75" customHeight="1">
      <c r="A224" s="89"/>
      <c r="B224" s="114"/>
      <c r="C224" s="93" t="s">
        <v>785</v>
      </c>
      <c r="D224" s="114"/>
      <c r="E224" s="114"/>
      <c r="F224" s="114"/>
      <c r="G224" s="118"/>
      <c r="H224" s="89"/>
      <c r="I224" s="79">
        <v>3300000.0</v>
      </c>
      <c r="J224" s="79">
        <v>363000.0</v>
      </c>
      <c r="K224" s="64"/>
      <c r="L224" s="64">
        <f>I224+J224</f>
        <v>3663000</v>
      </c>
      <c r="M224" s="66"/>
      <c r="N224" s="69" t="s">
        <v>786</v>
      </c>
      <c r="O224" s="48" t="str">
        <f t="shared" si="26"/>
        <v>Approved</v>
      </c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</row>
    <row r="225" ht="15.75" customHeight="1">
      <c r="A225" s="89"/>
      <c r="B225" s="114"/>
      <c r="C225" s="93" t="s">
        <v>787</v>
      </c>
      <c r="D225" s="114"/>
      <c r="E225" s="115" t="s">
        <v>788</v>
      </c>
      <c r="F225" s="114"/>
      <c r="G225" s="118"/>
      <c r="H225" s="89"/>
      <c r="I225" s="79">
        <v>1825000.0</v>
      </c>
      <c r="J225" s="64"/>
      <c r="K225" s="64"/>
      <c r="L225" s="79">
        <v>1825000.0</v>
      </c>
      <c r="M225" s="66"/>
      <c r="N225" s="69" t="s">
        <v>789</v>
      </c>
      <c r="O225" s="48" t="str">
        <f t="shared" si="26"/>
        <v>Approved</v>
      </c>
      <c r="P225" s="48"/>
      <c r="Q225" s="46" t="s">
        <v>790</v>
      </c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</row>
    <row r="226" ht="15.75" customHeight="1">
      <c r="A226" s="89"/>
      <c r="B226" s="114"/>
      <c r="C226" s="93" t="s">
        <v>791</v>
      </c>
      <c r="D226" s="114"/>
      <c r="E226" s="115" t="s">
        <v>788</v>
      </c>
      <c r="F226" s="114"/>
      <c r="G226" s="118"/>
      <c r="H226" s="89"/>
      <c r="I226" s="79">
        <v>681229.0</v>
      </c>
      <c r="J226" s="64"/>
      <c r="K226" s="64"/>
      <c r="L226" s="79">
        <v>681229.0</v>
      </c>
      <c r="M226" s="66"/>
      <c r="N226" s="69" t="s">
        <v>792</v>
      </c>
      <c r="O226" s="48" t="str">
        <f t="shared" si="26"/>
        <v>Approved</v>
      </c>
      <c r="P226" s="48"/>
      <c r="Q226" s="46" t="s">
        <v>793</v>
      </c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</row>
    <row r="227" ht="15.75" customHeight="1">
      <c r="A227" s="89"/>
      <c r="B227" s="114"/>
      <c r="C227" s="93" t="s">
        <v>794</v>
      </c>
      <c r="D227" s="114"/>
      <c r="E227" s="114"/>
      <c r="F227" s="114"/>
      <c r="G227" s="118"/>
      <c r="H227" s="89"/>
      <c r="I227" s="79">
        <v>1.11144E7</v>
      </c>
      <c r="J227" s="79">
        <v>1222584.0</v>
      </c>
      <c r="K227" s="64"/>
      <c r="L227" s="64">
        <f t="shared" ref="L227:L231" si="28">I227+J227</f>
        <v>12336984</v>
      </c>
      <c r="M227" s="128"/>
      <c r="N227" s="69" t="s">
        <v>795</v>
      </c>
      <c r="O227" s="46" t="s">
        <v>116</v>
      </c>
      <c r="P227" s="69" t="s">
        <v>796</v>
      </c>
      <c r="Q227" s="46" t="s">
        <v>797</v>
      </c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</row>
    <row r="228" ht="15.75" customHeight="1">
      <c r="A228" s="89"/>
      <c r="B228" s="114"/>
      <c r="C228" s="93" t="s">
        <v>798</v>
      </c>
      <c r="D228" s="114"/>
      <c r="E228" s="115" t="s">
        <v>799</v>
      </c>
      <c r="F228" s="114"/>
      <c r="G228" s="118"/>
      <c r="H228" s="89"/>
      <c r="I228" s="79">
        <v>1.40505E7</v>
      </c>
      <c r="J228" s="79">
        <v>1545555.0</v>
      </c>
      <c r="K228" s="64"/>
      <c r="L228" s="64">
        <f t="shared" si="28"/>
        <v>15596055</v>
      </c>
      <c r="M228" s="128"/>
      <c r="N228" s="69" t="s">
        <v>800</v>
      </c>
      <c r="O228" s="46" t="s">
        <v>116</v>
      </c>
      <c r="P228" s="69" t="s">
        <v>801</v>
      </c>
      <c r="Q228" s="46" t="s">
        <v>797</v>
      </c>
      <c r="R228" s="46" t="s">
        <v>802</v>
      </c>
      <c r="S228" s="48"/>
      <c r="T228" s="48"/>
      <c r="U228" s="48"/>
      <c r="V228" s="48"/>
      <c r="W228" s="48"/>
      <c r="X228" s="48"/>
      <c r="Y228" s="48"/>
      <c r="Z228" s="48"/>
      <c r="AA228" s="48"/>
      <c r="AB228" s="48"/>
    </row>
    <row r="229" ht="15.75" customHeight="1">
      <c r="A229" s="89"/>
      <c r="B229" s="114"/>
      <c r="C229" s="93" t="s">
        <v>803</v>
      </c>
      <c r="D229" s="114"/>
      <c r="E229" s="115" t="s">
        <v>799</v>
      </c>
      <c r="F229" s="114"/>
      <c r="G229" s="118"/>
      <c r="H229" s="89"/>
      <c r="I229" s="79">
        <v>1.1577E7</v>
      </c>
      <c r="J229" s="79">
        <v>1273470.0</v>
      </c>
      <c r="K229" s="64"/>
      <c r="L229" s="64">
        <f t="shared" si="28"/>
        <v>12850470</v>
      </c>
      <c r="M229" s="128"/>
      <c r="N229" s="69" t="s">
        <v>804</v>
      </c>
      <c r="O229" s="46" t="s">
        <v>116</v>
      </c>
      <c r="P229" s="69" t="s">
        <v>805</v>
      </c>
      <c r="Q229" s="48"/>
      <c r="R229" s="46" t="s">
        <v>802</v>
      </c>
      <c r="S229" s="48"/>
      <c r="T229" s="48"/>
      <c r="U229" s="48"/>
      <c r="V229" s="48"/>
      <c r="W229" s="48"/>
      <c r="X229" s="48"/>
      <c r="Y229" s="48"/>
      <c r="Z229" s="48"/>
      <c r="AA229" s="48"/>
      <c r="AB229" s="48"/>
    </row>
    <row r="230" ht="15.75" customHeight="1">
      <c r="A230" s="89"/>
      <c r="B230" s="114"/>
      <c r="C230" s="93" t="s">
        <v>806</v>
      </c>
      <c r="D230" s="114"/>
      <c r="E230" s="92"/>
      <c r="F230" s="114"/>
      <c r="G230" s="118"/>
      <c r="H230" s="89"/>
      <c r="I230" s="79">
        <v>1.91655E7</v>
      </c>
      <c r="J230" s="79">
        <v>2108205.0</v>
      </c>
      <c r="K230" s="64"/>
      <c r="L230" s="64">
        <f t="shared" si="28"/>
        <v>21273705</v>
      </c>
      <c r="M230" s="66"/>
      <c r="N230" s="69" t="s">
        <v>807</v>
      </c>
      <c r="O230" s="46" t="s">
        <v>116</v>
      </c>
      <c r="P230" s="69" t="s">
        <v>808</v>
      </c>
      <c r="Q230" s="48"/>
      <c r="R230" s="46" t="s">
        <v>802</v>
      </c>
      <c r="S230" s="48"/>
      <c r="T230" s="48"/>
      <c r="U230" s="48"/>
      <c r="V230" s="48"/>
      <c r="W230" s="48"/>
      <c r="X230" s="48"/>
      <c r="Y230" s="48"/>
      <c r="Z230" s="48"/>
      <c r="AA230" s="48"/>
      <c r="AB230" s="48"/>
    </row>
    <row r="231" ht="15.75" customHeight="1">
      <c r="A231" s="89"/>
      <c r="B231" s="114"/>
      <c r="C231" s="93" t="s">
        <v>809</v>
      </c>
      <c r="D231" s="114"/>
      <c r="E231" s="115" t="s">
        <v>810</v>
      </c>
      <c r="F231" s="115" t="s">
        <v>811</v>
      </c>
      <c r="G231" s="118"/>
      <c r="H231" s="89"/>
      <c r="I231" s="79">
        <v>5289000.0</v>
      </c>
      <c r="J231" s="79">
        <v>581790.0</v>
      </c>
      <c r="K231" s="64"/>
      <c r="L231" s="64">
        <f t="shared" si="28"/>
        <v>5870790</v>
      </c>
      <c r="M231" s="66"/>
      <c r="N231" s="69" t="s">
        <v>812</v>
      </c>
      <c r="O231" s="46" t="s">
        <v>116</v>
      </c>
      <c r="P231" s="48"/>
      <c r="Q231" s="48"/>
      <c r="R231" s="46" t="s">
        <v>802</v>
      </c>
      <c r="S231" s="48"/>
      <c r="T231" s="48"/>
      <c r="U231" s="48"/>
      <c r="V231" s="48"/>
      <c r="W231" s="48"/>
      <c r="X231" s="48"/>
      <c r="Y231" s="48"/>
      <c r="Z231" s="48"/>
      <c r="AA231" s="48"/>
      <c r="AB231" s="48"/>
    </row>
    <row r="232" ht="15.75" customHeight="1">
      <c r="A232" s="89"/>
      <c r="B232" s="114"/>
      <c r="C232" s="93" t="s">
        <v>813</v>
      </c>
      <c r="D232" s="114"/>
      <c r="E232" s="115" t="s">
        <v>814</v>
      </c>
      <c r="F232" s="115" t="s">
        <v>815</v>
      </c>
      <c r="G232" s="118"/>
      <c r="H232" s="89"/>
      <c r="I232" s="79">
        <v>6750000.0</v>
      </c>
      <c r="J232" s="64"/>
      <c r="K232" s="64"/>
      <c r="L232" s="79">
        <v>6750000.0</v>
      </c>
      <c r="M232" s="66"/>
      <c r="N232" s="69" t="s">
        <v>816</v>
      </c>
      <c r="O232" s="48" t="s">
        <v>116</v>
      </c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</row>
    <row r="233" ht="15.75" customHeight="1">
      <c r="A233" s="89"/>
      <c r="B233" s="114"/>
      <c r="C233" s="93" t="s">
        <v>817</v>
      </c>
      <c r="D233" s="114"/>
      <c r="E233" s="115" t="s">
        <v>818</v>
      </c>
      <c r="F233" s="92" t="s">
        <v>819</v>
      </c>
      <c r="G233" s="118"/>
      <c r="H233" s="89"/>
      <c r="I233" s="79">
        <v>1.4195E7</v>
      </c>
      <c r="J233" s="64"/>
      <c r="K233" s="64"/>
      <c r="L233" s="79">
        <v>1.4195E7</v>
      </c>
      <c r="M233" s="66"/>
      <c r="N233" s="69" t="s">
        <v>820</v>
      </c>
      <c r="O233" s="48" t="str">
        <f>O226</f>
        <v>Approved</v>
      </c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</row>
    <row r="234" ht="15.75" customHeight="1">
      <c r="A234" s="89"/>
      <c r="B234" s="114"/>
      <c r="C234" s="93" t="s">
        <v>821</v>
      </c>
      <c r="D234" s="114"/>
      <c r="E234" s="115" t="s">
        <v>637</v>
      </c>
      <c r="F234" s="115" t="s">
        <v>822</v>
      </c>
      <c r="G234" s="118"/>
      <c r="H234" s="89"/>
      <c r="I234" s="79">
        <v>8142210.0</v>
      </c>
      <c r="J234" s="79">
        <v>895643.0</v>
      </c>
      <c r="K234" s="64"/>
      <c r="L234" s="64">
        <f>I234+J234</f>
        <v>9037853</v>
      </c>
      <c r="M234" s="66"/>
      <c r="N234" s="69" t="s">
        <v>823</v>
      </c>
      <c r="O234" s="48" t="s">
        <v>116</v>
      </c>
      <c r="P234" s="46"/>
      <c r="Q234" s="83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</row>
    <row r="235" ht="15.75" customHeight="1">
      <c r="A235" s="89"/>
      <c r="B235" s="114"/>
      <c r="C235" s="93" t="s">
        <v>824</v>
      </c>
      <c r="D235" s="114"/>
      <c r="E235" s="114"/>
      <c r="F235" s="114"/>
      <c r="G235" s="118"/>
      <c r="H235" s="89"/>
      <c r="I235" s="79">
        <v>500000.0</v>
      </c>
      <c r="J235" s="64"/>
      <c r="K235" s="64"/>
      <c r="L235" s="79">
        <v>500000.0</v>
      </c>
      <c r="M235" s="66"/>
      <c r="N235" s="69" t="s">
        <v>825</v>
      </c>
      <c r="O235" s="48" t="s">
        <v>116</v>
      </c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</row>
    <row r="236" ht="15.75" customHeight="1">
      <c r="A236" s="89"/>
      <c r="B236" s="114"/>
      <c r="C236" s="93" t="s">
        <v>826</v>
      </c>
      <c r="D236" s="114"/>
      <c r="E236" s="114"/>
      <c r="F236" s="114"/>
      <c r="G236" s="118"/>
      <c r="H236" s="89"/>
      <c r="I236" s="79">
        <v>2503165.0</v>
      </c>
      <c r="J236" s="64"/>
      <c r="K236" s="64"/>
      <c r="L236" s="64">
        <f>I236</f>
        <v>2503165</v>
      </c>
      <c r="M236" s="66"/>
      <c r="N236" s="69" t="s">
        <v>827</v>
      </c>
      <c r="O236" s="48" t="s">
        <v>116</v>
      </c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</row>
    <row r="237" ht="15.75" customHeight="1">
      <c r="A237" s="89"/>
      <c r="B237" s="114"/>
      <c r="C237" s="93" t="s">
        <v>828</v>
      </c>
      <c r="D237" s="114"/>
      <c r="E237" s="115" t="s">
        <v>829</v>
      </c>
      <c r="F237" s="114"/>
      <c r="G237" s="92" t="s">
        <v>830</v>
      </c>
      <c r="H237" s="89"/>
      <c r="I237" s="79">
        <v>445948.0</v>
      </c>
      <c r="J237" s="79">
        <v>49054.0</v>
      </c>
      <c r="K237" s="64"/>
      <c r="L237" s="64">
        <f t="shared" ref="L237:L239" si="29">I237+J237</f>
        <v>495002</v>
      </c>
      <c r="M237" s="66"/>
      <c r="N237" s="69" t="s">
        <v>831</v>
      </c>
      <c r="O237" s="48" t="s">
        <v>116</v>
      </c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</row>
    <row r="238" ht="15.75" customHeight="1">
      <c r="A238" s="89"/>
      <c r="B238" s="114"/>
      <c r="C238" s="93" t="s">
        <v>828</v>
      </c>
      <c r="D238" s="114"/>
      <c r="E238" s="115" t="s">
        <v>829</v>
      </c>
      <c r="F238" s="114"/>
      <c r="G238" s="92" t="s">
        <v>830</v>
      </c>
      <c r="H238" s="89"/>
      <c r="I238" s="79">
        <v>2625000.0</v>
      </c>
      <c r="J238" s="79">
        <v>288750.0</v>
      </c>
      <c r="K238" s="64"/>
      <c r="L238" s="64">
        <f t="shared" si="29"/>
        <v>2913750</v>
      </c>
      <c r="M238" s="66"/>
      <c r="N238" s="69" t="s">
        <v>832</v>
      </c>
      <c r="O238" s="48" t="s">
        <v>116</v>
      </c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</row>
    <row r="239" ht="15.75" customHeight="1">
      <c r="A239" s="89"/>
      <c r="B239" s="114"/>
      <c r="C239" s="93" t="s">
        <v>828</v>
      </c>
      <c r="D239" s="114"/>
      <c r="E239" s="115" t="s">
        <v>829</v>
      </c>
      <c r="F239" s="114"/>
      <c r="G239" s="92" t="s">
        <v>830</v>
      </c>
      <c r="H239" s="89"/>
      <c r="I239" s="79">
        <v>330000.0</v>
      </c>
      <c r="J239" s="79">
        <v>36300.0</v>
      </c>
      <c r="K239" s="64"/>
      <c r="L239" s="64">
        <f t="shared" si="29"/>
        <v>366300</v>
      </c>
      <c r="M239" s="66"/>
      <c r="N239" s="69" t="s">
        <v>833</v>
      </c>
      <c r="O239" s="48" t="s">
        <v>116</v>
      </c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</row>
    <row r="240" ht="15.75" customHeight="1">
      <c r="A240" s="89"/>
      <c r="B240" s="114"/>
      <c r="C240" s="93" t="s">
        <v>834</v>
      </c>
      <c r="D240" s="114"/>
      <c r="E240" s="114"/>
      <c r="F240" s="114"/>
      <c r="G240" s="92" t="s">
        <v>830</v>
      </c>
      <c r="H240" s="89"/>
      <c r="I240" s="79">
        <v>742500.0</v>
      </c>
      <c r="J240" s="64"/>
      <c r="K240" s="64"/>
      <c r="L240" s="79">
        <v>742500.0</v>
      </c>
      <c r="M240" s="66"/>
      <c r="N240" s="69" t="s">
        <v>835</v>
      </c>
      <c r="O240" s="48" t="s">
        <v>116</v>
      </c>
      <c r="P240" s="48"/>
      <c r="Q240" s="46"/>
      <c r="R240" s="46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</row>
    <row r="241" ht="15.75" customHeight="1">
      <c r="A241" s="89"/>
      <c r="B241" s="114"/>
      <c r="C241" s="93" t="s">
        <v>836</v>
      </c>
      <c r="D241" s="114"/>
      <c r="E241" s="115" t="s">
        <v>818</v>
      </c>
      <c r="F241" s="115" t="s">
        <v>837</v>
      </c>
      <c r="G241" s="92" t="s">
        <v>838</v>
      </c>
      <c r="H241" s="89"/>
      <c r="I241" s="79">
        <v>4.14E7</v>
      </c>
      <c r="J241" s="64"/>
      <c r="K241" s="64"/>
      <c r="L241" s="79">
        <v>4.14E7</v>
      </c>
      <c r="M241" s="66"/>
      <c r="N241" s="69" t="s">
        <v>839</v>
      </c>
      <c r="O241" s="48" t="s">
        <v>116</v>
      </c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</row>
    <row r="242" ht="15.75" customHeight="1">
      <c r="A242" s="89"/>
      <c r="B242" s="114"/>
      <c r="C242" s="93" t="s">
        <v>513</v>
      </c>
      <c r="D242" s="114"/>
      <c r="E242" s="114"/>
      <c r="F242" s="114"/>
      <c r="G242" s="92" t="s">
        <v>838</v>
      </c>
      <c r="H242" s="89"/>
      <c r="I242" s="79">
        <v>5000000.0</v>
      </c>
      <c r="J242" s="64"/>
      <c r="K242" s="64"/>
      <c r="L242" s="79">
        <v>5000000.0</v>
      </c>
      <c r="M242" s="66"/>
      <c r="N242" s="48"/>
      <c r="O242" s="48" t="s">
        <v>116</v>
      </c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</row>
    <row r="243" ht="15.75" customHeight="1">
      <c r="A243" s="89"/>
      <c r="B243" s="114"/>
      <c r="C243" s="93" t="s">
        <v>840</v>
      </c>
      <c r="D243" s="114"/>
      <c r="E243" s="115" t="s">
        <v>841</v>
      </c>
      <c r="F243" s="114"/>
      <c r="G243" s="92" t="s">
        <v>838</v>
      </c>
      <c r="H243" s="89"/>
      <c r="I243" s="79">
        <v>145611.0</v>
      </c>
      <c r="J243" s="64"/>
      <c r="K243" s="64"/>
      <c r="L243" s="79">
        <v>145611.0</v>
      </c>
      <c r="M243" s="66"/>
      <c r="N243" s="69" t="s">
        <v>842</v>
      </c>
      <c r="O243" s="48" t="s">
        <v>116</v>
      </c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</row>
    <row r="244" ht="15.75" customHeight="1">
      <c r="A244" s="89"/>
      <c r="B244" s="114"/>
      <c r="C244" s="93" t="s">
        <v>843</v>
      </c>
      <c r="D244" s="114"/>
      <c r="E244" s="115" t="s">
        <v>841</v>
      </c>
      <c r="F244" s="114"/>
      <c r="G244" s="92" t="s">
        <v>838</v>
      </c>
      <c r="H244" s="89"/>
      <c r="I244" s="79">
        <v>984000.0</v>
      </c>
      <c r="J244" s="64"/>
      <c r="K244" s="64"/>
      <c r="L244" s="79">
        <v>984000.0</v>
      </c>
      <c r="M244" s="66"/>
      <c r="N244" s="69" t="s">
        <v>844</v>
      </c>
      <c r="O244" s="48" t="s">
        <v>116</v>
      </c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</row>
    <row r="245" ht="15.75" customHeight="1">
      <c r="A245" s="89"/>
      <c r="B245" s="114"/>
      <c r="C245" s="93" t="s">
        <v>845</v>
      </c>
      <c r="D245" s="114"/>
      <c r="E245" s="115" t="s">
        <v>841</v>
      </c>
      <c r="F245" s="114"/>
      <c r="G245" s="92" t="s">
        <v>838</v>
      </c>
      <c r="H245" s="89"/>
      <c r="I245" s="79">
        <v>562000.0</v>
      </c>
      <c r="J245" s="64"/>
      <c r="K245" s="64"/>
      <c r="L245" s="79">
        <v>562000.0</v>
      </c>
      <c r="M245" s="66"/>
      <c r="N245" s="69" t="s">
        <v>846</v>
      </c>
      <c r="O245" s="48" t="s">
        <v>116</v>
      </c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</row>
    <row r="246" ht="15.75" customHeight="1">
      <c r="A246" s="89"/>
      <c r="B246" s="114"/>
      <c r="C246" s="93" t="s">
        <v>847</v>
      </c>
      <c r="D246" s="114"/>
      <c r="E246" s="115" t="s">
        <v>841</v>
      </c>
      <c r="F246" s="114"/>
      <c r="G246" s="92" t="s">
        <v>838</v>
      </c>
      <c r="H246" s="89"/>
      <c r="I246" s="79">
        <v>279000.0</v>
      </c>
      <c r="J246" s="64"/>
      <c r="K246" s="64"/>
      <c r="L246" s="79">
        <v>279000.0</v>
      </c>
      <c r="M246" s="66"/>
      <c r="N246" s="69" t="s">
        <v>848</v>
      </c>
      <c r="O246" s="48" t="s">
        <v>116</v>
      </c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</row>
    <row r="247" ht="15.75" customHeight="1">
      <c r="A247" s="89"/>
      <c r="B247" s="114"/>
      <c r="C247" s="93" t="s">
        <v>849</v>
      </c>
      <c r="D247" s="114"/>
      <c r="E247" s="115" t="s">
        <v>841</v>
      </c>
      <c r="F247" s="114"/>
      <c r="G247" s="92" t="s">
        <v>838</v>
      </c>
      <c r="H247" s="89"/>
      <c r="I247" s="79">
        <v>304960.0</v>
      </c>
      <c r="J247" s="64"/>
      <c r="K247" s="64"/>
      <c r="L247" s="79">
        <v>304960.0</v>
      </c>
      <c r="M247" s="66"/>
      <c r="N247" s="69" t="s">
        <v>850</v>
      </c>
      <c r="O247" s="48" t="s">
        <v>116</v>
      </c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</row>
    <row r="248" ht="15.75" customHeight="1">
      <c r="A248" s="89"/>
      <c r="B248" s="114"/>
      <c r="C248" s="93" t="s">
        <v>851</v>
      </c>
      <c r="D248" s="114"/>
      <c r="E248" s="114"/>
      <c r="F248" s="114"/>
      <c r="G248" s="92" t="s">
        <v>838</v>
      </c>
      <c r="H248" s="89"/>
      <c r="I248" s="79">
        <v>2500000.0</v>
      </c>
      <c r="J248" s="64"/>
      <c r="K248" s="64"/>
      <c r="L248" s="79">
        <v>2500000.0</v>
      </c>
      <c r="M248" s="66"/>
      <c r="N248" s="69" t="s">
        <v>852</v>
      </c>
      <c r="O248" s="48" t="s">
        <v>116</v>
      </c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</row>
    <row r="249" ht="15.75" customHeight="1">
      <c r="A249" s="89"/>
      <c r="B249" s="114"/>
      <c r="C249" s="93" t="s">
        <v>853</v>
      </c>
      <c r="D249" s="114"/>
      <c r="E249" s="114"/>
      <c r="F249" s="114"/>
      <c r="G249" s="92" t="s">
        <v>838</v>
      </c>
      <c r="H249" s="89"/>
      <c r="I249" s="79">
        <v>1050000.0</v>
      </c>
      <c r="J249" s="79">
        <v>115500.0</v>
      </c>
      <c r="K249" s="79">
        <v>21000.0</v>
      </c>
      <c r="L249" s="64">
        <f>I249+J249-K249</f>
        <v>1144500</v>
      </c>
      <c r="M249" s="66"/>
      <c r="N249" s="69" t="s">
        <v>854</v>
      </c>
      <c r="O249" s="48" t="s">
        <v>116</v>
      </c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</row>
    <row r="250" ht="15.75" customHeight="1">
      <c r="A250" s="89"/>
      <c r="B250" s="114"/>
      <c r="C250" s="93" t="s">
        <v>855</v>
      </c>
      <c r="D250" s="114"/>
      <c r="E250" s="114"/>
      <c r="F250" s="114"/>
      <c r="G250" s="92" t="s">
        <v>838</v>
      </c>
      <c r="H250" s="89"/>
      <c r="I250" s="79">
        <v>539999.0</v>
      </c>
      <c r="J250" s="64"/>
      <c r="K250" s="64"/>
      <c r="L250" s="79">
        <v>539999.0</v>
      </c>
      <c r="M250" s="66"/>
      <c r="N250" s="69" t="s">
        <v>856</v>
      </c>
      <c r="O250" s="48" t="s">
        <v>116</v>
      </c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</row>
    <row r="251" ht="15.75" customHeight="1">
      <c r="A251" s="89"/>
      <c r="B251" s="114"/>
      <c r="C251" s="93" t="s">
        <v>857</v>
      </c>
      <c r="D251" s="114"/>
      <c r="E251" s="114"/>
      <c r="F251" s="114"/>
      <c r="G251" s="92" t="s">
        <v>838</v>
      </c>
      <c r="H251" s="89"/>
      <c r="I251" s="79">
        <v>900000.0</v>
      </c>
      <c r="J251" s="64"/>
      <c r="K251" s="64"/>
      <c r="L251" s="79">
        <v>900000.0</v>
      </c>
      <c r="M251" s="66"/>
      <c r="N251" s="69" t="s">
        <v>858</v>
      </c>
      <c r="O251" s="48" t="s">
        <v>116</v>
      </c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</row>
    <row r="252" ht="15.75" customHeight="1">
      <c r="A252" s="89"/>
      <c r="B252" s="114"/>
      <c r="C252" s="93" t="s">
        <v>859</v>
      </c>
      <c r="D252" s="114"/>
      <c r="E252" s="114"/>
      <c r="F252" s="114"/>
      <c r="G252" s="92" t="s">
        <v>860</v>
      </c>
      <c r="H252" s="89"/>
      <c r="I252" s="79">
        <v>1.275E8</v>
      </c>
      <c r="J252" s="64"/>
      <c r="K252" s="64"/>
      <c r="L252" s="79">
        <v>1.275E8</v>
      </c>
      <c r="M252" s="66"/>
      <c r="N252" s="69" t="s">
        <v>861</v>
      </c>
      <c r="O252" s="48" t="s">
        <v>116</v>
      </c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</row>
    <row r="253" ht="15.75" customHeight="1">
      <c r="A253" s="89"/>
      <c r="B253" s="114"/>
      <c r="C253" s="93" t="s">
        <v>862</v>
      </c>
      <c r="D253" s="114"/>
      <c r="E253" s="114"/>
      <c r="F253" s="114"/>
      <c r="G253" s="92" t="s">
        <v>863</v>
      </c>
      <c r="H253" s="89"/>
      <c r="I253" s="79">
        <v>1.275E8</v>
      </c>
      <c r="J253" s="64"/>
      <c r="K253" s="64"/>
      <c r="L253" s="79">
        <v>1.275E8</v>
      </c>
      <c r="M253" s="66"/>
      <c r="N253" s="69" t="s">
        <v>864</v>
      </c>
      <c r="O253" s="48" t="s">
        <v>116</v>
      </c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</row>
    <row r="254" ht="15.75" customHeight="1">
      <c r="A254" s="89"/>
      <c r="B254" s="114"/>
      <c r="C254" s="93" t="s">
        <v>865</v>
      </c>
      <c r="D254" s="114"/>
      <c r="E254" s="115" t="s">
        <v>866</v>
      </c>
      <c r="F254" s="114"/>
      <c r="G254" s="92" t="s">
        <v>863</v>
      </c>
      <c r="H254" s="89"/>
      <c r="I254" s="79">
        <v>4317000.0</v>
      </c>
      <c r="J254" s="64"/>
      <c r="K254" s="64"/>
      <c r="L254" s="79">
        <v>4317000.0</v>
      </c>
      <c r="M254" s="66"/>
      <c r="N254" s="69" t="s">
        <v>867</v>
      </c>
      <c r="O254" s="48" t="s">
        <v>116</v>
      </c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</row>
    <row r="255" ht="15.75" customHeight="1">
      <c r="A255" s="89"/>
      <c r="B255" s="114"/>
      <c r="C255" s="93" t="s">
        <v>868</v>
      </c>
      <c r="D255" s="114"/>
      <c r="E255" s="115" t="s">
        <v>869</v>
      </c>
      <c r="F255" s="115" t="s">
        <v>870</v>
      </c>
      <c r="G255" s="92" t="s">
        <v>863</v>
      </c>
      <c r="H255" s="89"/>
      <c r="I255" s="79">
        <v>4560811.0</v>
      </c>
      <c r="J255" s="79">
        <v>501689.0</v>
      </c>
      <c r="K255" s="64"/>
      <c r="L255" s="64">
        <f t="shared" ref="L255:L257" si="30">I255+J255</f>
        <v>5062500</v>
      </c>
      <c r="M255" s="66"/>
      <c r="N255" s="69" t="s">
        <v>871</v>
      </c>
      <c r="O255" s="48" t="s">
        <v>116</v>
      </c>
      <c r="P255" s="69" t="s">
        <v>872</v>
      </c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</row>
    <row r="256" ht="15.75" customHeight="1">
      <c r="A256" s="89"/>
      <c r="B256" s="114"/>
      <c r="C256" s="93" t="s">
        <v>868</v>
      </c>
      <c r="D256" s="114"/>
      <c r="E256" s="115" t="s">
        <v>873</v>
      </c>
      <c r="F256" s="115" t="s">
        <v>874</v>
      </c>
      <c r="G256" s="92" t="s">
        <v>863</v>
      </c>
      <c r="H256" s="89"/>
      <c r="I256" s="79">
        <v>6081081.0</v>
      </c>
      <c r="J256" s="79">
        <v>668919.0</v>
      </c>
      <c r="K256" s="64"/>
      <c r="L256" s="64">
        <f t="shared" si="30"/>
        <v>6750000</v>
      </c>
      <c r="M256" s="66"/>
      <c r="N256" s="69" t="s">
        <v>875</v>
      </c>
      <c r="O256" s="48" t="s">
        <v>116</v>
      </c>
      <c r="P256" s="69" t="s">
        <v>876</v>
      </c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</row>
    <row r="257" ht="15.75" customHeight="1">
      <c r="A257" s="89"/>
      <c r="B257" s="114"/>
      <c r="C257" s="93" t="s">
        <v>877</v>
      </c>
      <c r="D257" s="114"/>
      <c r="E257" s="115" t="s">
        <v>694</v>
      </c>
      <c r="F257" s="115" t="s">
        <v>878</v>
      </c>
      <c r="G257" s="92" t="s">
        <v>863</v>
      </c>
      <c r="H257" s="89"/>
      <c r="I257" s="79">
        <v>7250000.0</v>
      </c>
      <c r="J257" s="79">
        <v>797500.0</v>
      </c>
      <c r="K257" s="64"/>
      <c r="L257" s="64">
        <f t="shared" si="30"/>
        <v>8047500</v>
      </c>
      <c r="M257" s="66"/>
      <c r="N257" s="69" t="s">
        <v>879</v>
      </c>
      <c r="O257" s="48" t="s">
        <v>116</v>
      </c>
      <c r="P257" s="48"/>
      <c r="Q257" s="46" t="s">
        <v>880</v>
      </c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</row>
    <row r="258" ht="15.75" customHeight="1">
      <c r="A258" s="89"/>
      <c r="B258" s="114"/>
      <c r="C258" s="93" t="s">
        <v>881</v>
      </c>
      <c r="D258" s="114"/>
      <c r="E258" s="114"/>
      <c r="F258" s="114"/>
      <c r="G258" s="92" t="s">
        <v>863</v>
      </c>
      <c r="H258" s="89"/>
      <c r="I258" s="79">
        <v>1000000.0</v>
      </c>
      <c r="J258" s="64"/>
      <c r="K258" s="64"/>
      <c r="L258" s="79">
        <v>1000000.0</v>
      </c>
      <c r="M258" s="66"/>
      <c r="N258" s="69" t="s">
        <v>882</v>
      </c>
      <c r="O258" s="48" t="s">
        <v>116</v>
      </c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</row>
    <row r="259" ht="15.75" customHeight="1">
      <c r="A259" s="89"/>
      <c r="B259" s="114"/>
      <c r="C259" s="93" t="s">
        <v>883</v>
      </c>
      <c r="D259" s="114"/>
      <c r="E259" s="114"/>
      <c r="F259" s="114"/>
      <c r="G259" s="92" t="s">
        <v>863</v>
      </c>
      <c r="H259" s="89"/>
      <c r="I259" s="79">
        <v>1018500.0</v>
      </c>
      <c r="J259" s="64"/>
      <c r="K259" s="64"/>
      <c r="L259" s="79">
        <v>1018500.0</v>
      </c>
      <c r="M259" s="66"/>
      <c r="N259" s="69" t="s">
        <v>884</v>
      </c>
      <c r="O259" s="48" t="s">
        <v>116</v>
      </c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</row>
    <row r="260" ht="15.75" customHeight="1">
      <c r="A260" s="89"/>
      <c r="B260" s="114"/>
      <c r="C260" s="93" t="s">
        <v>885</v>
      </c>
      <c r="D260" s="114"/>
      <c r="E260" s="114"/>
      <c r="F260" s="114"/>
      <c r="G260" s="92" t="s">
        <v>863</v>
      </c>
      <c r="H260" s="89"/>
      <c r="I260" s="79">
        <v>1576281.0</v>
      </c>
      <c r="J260" s="64"/>
      <c r="K260" s="64"/>
      <c r="L260" s="79">
        <v>1576281.0</v>
      </c>
      <c r="M260" s="66"/>
      <c r="N260" s="69" t="s">
        <v>886</v>
      </c>
      <c r="O260" s="48" t="s">
        <v>116</v>
      </c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</row>
    <row r="261" ht="15.75" customHeight="1">
      <c r="A261" s="89"/>
      <c r="B261" s="114"/>
      <c r="C261" s="93" t="s">
        <v>887</v>
      </c>
      <c r="D261" s="114"/>
      <c r="E261" s="115" t="s">
        <v>888</v>
      </c>
      <c r="F261" s="92" t="s">
        <v>889</v>
      </c>
      <c r="G261" s="92" t="s">
        <v>863</v>
      </c>
      <c r="H261" s="89"/>
      <c r="I261" s="79">
        <v>1198000.0</v>
      </c>
      <c r="J261" s="64"/>
      <c r="K261" s="64"/>
      <c r="L261" s="79">
        <v>1198000.0</v>
      </c>
      <c r="M261" s="66"/>
      <c r="N261" s="69" t="s">
        <v>890</v>
      </c>
      <c r="O261" s="48" t="s">
        <v>116</v>
      </c>
      <c r="P261" s="48"/>
      <c r="Q261" s="46" t="s">
        <v>891</v>
      </c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</row>
    <row r="262" ht="15.75" customHeight="1">
      <c r="A262" s="89"/>
      <c r="B262" s="114"/>
      <c r="C262" s="93" t="s">
        <v>892</v>
      </c>
      <c r="D262" s="114"/>
      <c r="E262" s="115" t="s">
        <v>888</v>
      </c>
      <c r="F262" s="114"/>
      <c r="G262" s="92" t="s">
        <v>863</v>
      </c>
      <c r="H262" s="89"/>
      <c r="I262" s="79">
        <v>1950000.0</v>
      </c>
      <c r="J262" s="64"/>
      <c r="K262" s="64"/>
      <c r="L262" s="79">
        <v>1950000.0</v>
      </c>
      <c r="M262" s="66"/>
      <c r="N262" s="69" t="s">
        <v>893</v>
      </c>
      <c r="O262" s="48" t="s">
        <v>116</v>
      </c>
      <c r="P262" s="48"/>
      <c r="Q262" s="46" t="s">
        <v>894</v>
      </c>
      <c r="R262" s="46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</row>
    <row r="263" ht="15.75" customHeight="1">
      <c r="A263" s="89"/>
      <c r="B263" s="114"/>
      <c r="C263" s="93" t="s">
        <v>895</v>
      </c>
      <c r="D263" s="114"/>
      <c r="E263" s="115" t="s">
        <v>888</v>
      </c>
      <c r="F263" s="114"/>
      <c r="G263" s="92" t="s">
        <v>863</v>
      </c>
      <c r="H263" s="89"/>
      <c r="I263" s="79">
        <v>101900.0</v>
      </c>
      <c r="J263" s="64"/>
      <c r="K263" s="64"/>
      <c r="L263" s="79">
        <v>101900.0</v>
      </c>
      <c r="M263" s="66"/>
      <c r="N263" s="69" t="s">
        <v>896</v>
      </c>
      <c r="O263" s="48" t="s">
        <v>116</v>
      </c>
      <c r="P263" s="48"/>
      <c r="Q263" s="46" t="s">
        <v>897</v>
      </c>
      <c r="R263" s="46" t="s">
        <v>898</v>
      </c>
      <c r="S263" s="48"/>
      <c r="T263" s="48"/>
      <c r="U263" s="48"/>
      <c r="V263" s="48"/>
      <c r="W263" s="48"/>
      <c r="X263" s="48"/>
      <c r="Y263" s="48"/>
      <c r="Z263" s="48"/>
      <c r="AA263" s="48"/>
      <c r="AB263" s="48"/>
    </row>
    <row r="264" ht="15.75" customHeight="1">
      <c r="A264" s="89"/>
      <c r="B264" s="114"/>
      <c r="C264" s="93" t="s">
        <v>899</v>
      </c>
      <c r="D264" s="114"/>
      <c r="E264" s="114"/>
      <c r="F264" s="114"/>
      <c r="G264" s="92" t="s">
        <v>863</v>
      </c>
      <c r="H264" s="89"/>
      <c r="I264" s="79">
        <v>5131400.0</v>
      </c>
      <c r="J264" s="64"/>
      <c r="K264" s="64"/>
      <c r="L264" s="79">
        <v>5131400.0</v>
      </c>
      <c r="M264" s="66"/>
      <c r="N264" s="48"/>
      <c r="O264" s="48" t="s">
        <v>116</v>
      </c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</row>
    <row r="265" ht="15.75" customHeight="1">
      <c r="A265" s="89"/>
      <c r="B265" s="114"/>
      <c r="C265" s="93" t="s">
        <v>900</v>
      </c>
      <c r="D265" s="114"/>
      <c r="E265" s="115" t="s">
        <v>901</v>
      </c>
      <c r="F265" s="115" t="s">
        <v>902</v>
      </c>
      <c r="G265" s="92" t="s">
        <v>903</v>
      </c>
      <c r="H265" s="89"/>
      <c r="I265" s="79">
        <v>876328.0</v>
      </c>
      <c r="J265" s="79">
        <v>96396.0</v>
      </c>
      <c r="K265" s="64"/>
      <c r="L265" s="64">
        <f>I265+J265</f>
        <v>972724</v>
      </c>
      <c r="M265" s="66"/>
      <c r="N265" s="69" t="s">
        <v>904</v>
      </c>
      <c r="O265" s="48" t="s">
        <v>116</v>
      </c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</row>
    <row r="266" ht="15.75" customHeight="1">
      <c r="A266" s="89"/>
      <c r="B266" s="114"/>
      <c r="C266" s="93" t="s">
        <v>905</v>
      </c>
      <c r="D266" s="114"/>
      <c r="E266" s="115" t="s">
        <v>901</v>
      </c>
      <c r="F266" s="115" t="s">
        <v>906</v>
      </c>
      <c r="G266" s="92" t="s">
        <v>903</v>
      </c>
      <c r="H266" s="89"/>
      <c r="I266" s="79">
        <v>2677500.0</v>
      </c>
      <c r="J266" s="64"/>
      <c r="K266" s="64"/>
      <c r="L266" s="79">
        <v>2677500.0</v>
      </c>
      <c r="M266" s="66"/>
      <c r="N266" s="69" t="s">
        <v>907</v>
      </c>
      <c r="O266" s="48" t="s">
        <v>116</v>
      </c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</row>
    <row r="267" ht="15.75" customHeight="1">
      <c r="A267" s="89"/>
      <c r="B267" s="114"/>
      <c r="C267" s="93" t="s">
        <v>908</v>
      </c>
      <c r="D267" s="114"/>
      <c r="E267" s="115" t="s">
        <v>901</v>
      </c>
      <c r="F267" s="114"/>
      <c r="G267" s="92" t="s">
        <v>903</v>
      </c>
      <c r="H267" s="89"/>
      <c r="I267" s="79">
        <v>116715.0</v>
      </c>
      <c r="J267" s="64"/>
      <c r="K267" s="64"/>
      <c r="L267" s="79">
        <v>116715.0</v>
      </c>
      <c r="M267" s="66"/>
      <c r="N267" s="115" t="s">
        <v>909</v>
      </c>
      <c r="O267" s="48" t="s">
        <v>116</v>
      </c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</row>
    <row r="268" ht="15.75" customHeight="1">
      <c r="A268" s="89"/>
      <c r="B268" s="114"/>
      <c r="C268" s="93" t="s">
        <v>910</v>
      </c>
      <c r="D268" s="114"/>
      <c r="E268" s="115" t="s">
        <v>901</v>
      </c>
      <c r="F268" s="114"/>
      <c r="G268" s="92" t="s">
        <v>903</v>
      </c>
      <c r="H268" s="89"/>
      <c r="I268" s="79">
        <v>27823.0</v>
      </c>
      <c r="J268" s="64"/>
      <c r="K268" s="64"/>
      <c r="L268" s="79">
        <v>27823.0</v>
      </c>
      <c r="M268" s="66"/>
      <c r="N268" s="69" t="s">
        <v>911</v>
      </c>
      <c r="O268" s="48" t="s">
        <v>116</v>
      </c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</row>
    <row r="269" ht="15.75" customHeight="1">
      <c r="A269" s="89"/>
      <c r="B269" s="114"/>
      <c r="C269" s="93" t="s">
        <v>912</v>
      </c>
      <c r="D269" s="114"/>
      <c r="E269" s="115" t="s">
        <v>901</v>
      </c>
      <c r="F269" s="114"/>
      <c r="G269" s="92" t="s">
        <v>903</v>
      </c>
      <c r="H269" s="89"/>
      <c r="I269" s="79">
        <v>106980.0</v>
      </c>
      <c r="J269" s="64"/>
      <c r="K269" s="64"/>
      <c r="L269" s="79">
        <v>106980.0</v>
      </c>
      <c r="M269" s="66"/>
      <c r="N269" s="69" t="s">
        <v>913</v>
      </c>
      <c r="O269" s="48" t="s">
        <v>116</v>
      </c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</row>
    <row r="270" ht="15.75" customHeight="1">
      <c r="A270" s="89"/>
      <c r="B270" s="114"/>
      <c r="C270" s="93" t="s">
        <v>914</v>
      </c>
      <c r="D270" s="114"/>
      <c r="E270" s="115" t="s">
        <v>901</v>
      </c>
      <c r="F270" s="114"/>
      <c r="G270" s="92" t="s">
        <v>903</v>
      </c>
      <c r="H270" s="89"/>
      <c r="I270" s="79">
        <v>116700.0</v>
      </c>
      <c r="J270" s="64"/>
      <c r="K270" s="64"/>
      <c r="L270" s="79">
        <v>116700.0</v>
      </c>
      <c r="M270" s="66"/>
      <c r="N270" s="69" t="s">
        <v>915</v>
      </c>
      <c r="O270" s="48" t="s">
        <v>116</v>
      </c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</row>
    <row r="271" ht="15.75" customHeight="1">
      <c r="A271" s="89"/>
      <c r="B271" s="114"/>
      <c r="C271" s="93" t="s">
        <v>916</v>
      </c>
      <c r="D271" s="114"/>
      <c r="E271" s="115" t="s">
        <v>901</v>
      </c>
      <c r="F271" s="114"/>
      <c r="G271" s="92" t="s">
        <v>903</v>
      </c>
      <c r="H271" s="89"/>
      <c r="I271" s="79">
        <v>175000.0</v>
      </c>
      <c r="J271" s="64"/>
      <c r="K271" s="64"/>
      <c r="L271" s="79">
        <v>175000.0</v>
      </c>
      <c r="M271" s="66"/>
      <c r="N271" s="69" t="s">
        <v>917</v>
      </c>
      <c r="O271" s="48" t="s">
        <v>116</v>
      </c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</row>
    <row r="272" ht="15.75" customHeight="1">
      <c r="A272" s="97"/>
      <c r="B272" s="132"/>
      <c r="C272" s="99" t="s">
        <v>918</v>
      </c>
      <c r="D272" s="132"/>
      <c r="E272" s="133" t="s">
        <v>919</v>
      </c>
      <c r="F272" s="133" t="s">
        <v>920</v>
      </c>
      <c r="G272" s="98" t="s">
        <v>903</v>
      </c>
      <c r="H272" s="97"/>
      <c r="I272" s="134">
        <v>1190000.0</v>
      </c>
      <c r="J272" s="105"/>
      <c r="K272" s="105"/>
      <c r="L272" s="134">
        <v>1190000.0</v>
      </c>
      <c r="M272" s="106"/>
      <c r="N272" s="101" t="s">
        <v>921</v>
      </c>
      <c r="O272" s="108" t="s">
        <v>116</v>
      </c>
      <c r="P272" s="101" t="s">
        <v>922</v>
      </c>
      <c r="Q272" s="10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</row>
    <row r="273" ht="15.75" customHeight="1">
      <c r="A273" s="89"/>
      <c r="B273" s="114"/>
      <c r="C273" s="93" t="s">
        <v>923</v>
      </c>
      <c r="D273" s="114"/>
      <c r="E273" s="114"/>
      <c r="F273" s="114"/>
      <c r="G273" s="92" t="s">
        <v>924</v>
      </c>
      <c r="H273" s="89"/>
      <c r="I273" s="79">
        <v>1000000.0</v>
      </c>
      <c r="J273" s="64"/>
      <c r="K273" s="64"/>
      <c r="L273" s="79">
        <v>1000000.0</v>
      </c>
      <c r="M273" s="66"/>
      <c r="N273" s="69" t="s">
        <v>925</v>
      </c>
      <c r="O273" s="48" t="s">
        <v>116</v>
      </c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</row>
    <row r="274" ht="15.75" customHeight="1">
      <c r="A274" s="89"/>
      <c r="B274" s="114"/>
      <c r="C274" s="93" t="s">
        <v>926</v>
      </c>
      <c r="D274" s="114"/>
      <c r="E274" s="114"/>
      <c r="F274" s="114"/>
      <c r="G274" s="92" t="s">
        <v>924</v>
      </c>
      <c r="H274" s="89"/>
      <c r="I274" s="79">
        <v>1.0671E7</v>
      </c>
      <c r="J274" s="64"/>
      <c r="K274" s="64"/>
      <c r="L274" s="79">
        <v>1.0671E7</v>
      </c>
      <c r="M274" s="66"/>
      <c r="N274" s="69" t="s">
        <v>927</v>
      </c>
      <c r="O274" s="48" t="s">
        <v>116</v>
      </c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</row>
    <row r="275" ht="15.75" customHeight="1">
      <c r="A275" s="89"/>
      <c r="B275" s="114"/>
      <c r="C275" s="93" t="s">
        <v>928</v>
      </c>
      <c r="D275" s="114"/>
      <c r="E275" s="114"/>
      <c r="F275" s="114"/>
      <c r="G275" s="92" t="s">
        <v>924</v>
      </c>
      <c r="H275" s="89"/>
      <c r="I275" s="79">
        <v>3626000.0</v>
      </c>
      <c r="J275" s="64"/>
      <c r="K275" s="64"/>
      <c r="L275" s="79">
        <v>3626000.0</v>
      </c>
      <c r="M275" s="66"/>
      <c r="N275" s="69" t="s">
        <v>929</v>
      </c>
      <c r="O275" s="48" t="s">
        <v>116</v>
      </c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</row>
    <row r="276" ht="15.75" customHeight="1">
      <c r="A276" s="89"/>
      <c r="B276" s="114"/>
      <c r="C276" s="93" t="s">
        <v>930</v>
      </c>
      <c r="D276" s="114"/>
      <c r="E276" s="115" t="s">
        <v>931</v>
      </c>
      <c r="F276" s="115" t="s">
        <v>932</v>
      </c>
      <c r="G276" s="118"/>
      <c r="H276" s="89"/>
      <c r="I276" s="79">
        <v>5250000.0</v>
      </c>
      <c r="J276" s="79">
        <v>577500.0</v>
      </c>
      <c r="K276" s="64"/>
      <c r="L276" s="64">
        <f t="shared" ref="L276:L278" si="31">I276+J276</f>
        <v>5827500</v>
      </c>
      <c r="M276" s="66"/>
      <c r="N276" s="69" t="s">
        <v>933</v>
      </c>
      <c r="O276" s="48" t="s">
        <v>116</v>
      </c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</row>
    <row r="277" ht="15.75" customHeight="1">
      <c r="A277" s="89"/>
      <c r="B277" s="114"/>
      <c r="C277" s="93" t="s">
        <v>934</v>
      </c>
      <c r="D277" s="114"/>
      <c r="E277" s="115" t="s">
        <v>931</v>
      </c>
      <c r="F277" s="115" t="s">
        <v>935</v>
      </c>
      <c r="G277" s="118"/>
      <c r="H277" s="89"/>
      <c r="I277" s="79">
        <v>2236800.0</v>
      </c>
      <c r="J277" s="79">
        <v>246048.0</v>
      </c>
      <c r="K277" s="64"/>
      <c r="L277" s="64">
        <f t="shared" si="31"/>
        <v>2482848</v>
      </c>
      <c r="M277" s="66"/>
      <c r="N277" s="69" t="s">
        <v>936</v>
      </c>
      <c r="O277" s="48" t="s">
        <v>116</v>
      </c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</row>
    <row r="278" ht="15.75" customHeight="1">
      <c r="A278" s="89"/>
      <c r="B278" s="114"/>
      <c r="C278" s="93" t="s">
        <v>937</v>
      </c>
      <c r="D278" s="114"/>
      <c r="E278" s="115" t="s">
        <v>931</v>
      </c>
      <c r="F278" s="115" t="s">
        <v>938</v>
      </c>
      <c r="G278" s="118"/>
      <c r="H278" s="89"/>
      <c r="I278" s="79">
        <v>542814.0</v>
      </c>
      <c r="J278" s="79">
        <v>59709.0</v>
      </c>
      <c r="K278" s="64"/>
      <c r="L278" s="64">
        <f t="shared" si="31"/>
        <v>602523</v>
      </c>
      <c r="M278" s="66"/>
      <c r="N278" s="69" t="s">
        <v>939</v>
      </c>
      <c r="O278" s="48" t="s">
        <v>116</v>
      </c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</row>
    <row r="279" ht="15.75" customHeight="1">
      <c r="A279" s="89"/>
      <c r="B279" s="114"/>
      <c r="C279" s="93" t="s">
        <v>940</v>
      </c>
      <c r="D279" s="114"/>
      <c r="E279" s="115" t="s">
        <v>941</v>
      </c>
      <c r="F279" s="115" t="s">
        <v>942</v>
      </c>
      <c r="G279" s="118"/>
      <c r="H279" s="89"/>
      <c r="I279" s="79">
        <v>1020000.0</v>
      </c>
      <c r="J279" s="64"/>
      <c r="K279" s="64"/>
      <c r="L279" s="79">
        <v>1020000.0</v>
      </c>
      <c r="M279" s="66"/>
      <c r="N279" s="69" t="s">
        <v>943</v>
      </c>
      <c r="O279" s="48" t="s">
        <v>116</v>
      </c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</row>
    <row r="280" ht="15.75" customHeight="1">
      <c r="A280" s="89"/>
      <c r="B280" s="114"/>
      <c r="C280" s="93" t="s">
        <v>944</v>
      </c>
      <c r="D280" s="114"/>
      <c r="E280" s="115" t="s">
        <v>941</v>
      </c>
      <c r="F280" s="92"/>
      <c r="G280" s="118"/>
      <c r="H280" s="89"/>
      <c r="I280" s="79">
        <v>830000.0</v>
      </c>
      <c r="J280" s="64"/>
      <c r="K280" s="64"/>
      <c r="L280" s="79">
        <v>830000.0</v>
      </c>
      <c r="M280" s="66"/>
      <c r="N280" s="69" t="s">
        <v>945</v>
      </c>
      <c r="O280" s="48" t="s">
        <v>116</v>
      </c>
      <c r="P280" s="46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</row>
    <row r="281" ht="15.75" customHeight="1">
      <c r="A281" s="89"/>
      <c r="B281" s="114"/>
      <c r="C281" s="93" t="s">
        <v>946</v>
      </c>
      <c r="D281" s="114"/>
      <c r="E281" s="115" t="s">
        <v>694</v>
      </c>
      <c r="F281" s="115" t="s">
        <v>947</v>
      </c>
      <c r="G281" s="118"/>
      <c r="H281" s="89"/>
      <c r="I281" s="79">
        <v>745600.0</v>
      </c>
      <c r="J281" s="79">
        <v>82016.0</v>
      </c>
      <c r="K281" s="64"/>
      <c r="L281" s="64">
        <f>I281+J281</f>
        <v>827616</v>
      </c>
      <c r="M281" s="66"/>
      <c r="N281" s="69" t="s">
        <v>948</v>
      </c>
      <c r="O281" s="48" t="s">
        <v>116</v>
      </c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</row>
    <row r="282" ht="15.75" customHeight="1">
      <c r="A282" s="89"/>
      <c r="B282" s="114"/>
      <c r="C282" s="93" t="s">
        <v>949</v>
      </c>
      <c r="D282" s="114"/>
      <c r="E282" s="114"/>
      <c r="F282" s="114"/>
      <c r="G282" s="118"/>
      <c r="H282" s="89"/>
      <c r="I282" s="79">
        <v>5000000.0</v>
      </c>
      <c r="J282" s="64"/>
      <c r="K282" s="64"/>
      <c r="L282" s="79">
        <v>5000000.0</v>
      </c>
      <c r="M282" s="66"/>
      <c r="N282" s="48"/>
      <c r="O282" s="48" t="s">
        <v>116</v>
      </c>
      <c r="P282" s="46" t="s">
        <v>950</v>
      </c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</row>
    <row r="283" ht="15.75" customHeight="1">
      <c r="A283" s="89"/>
      <c r="B283" s="114"/>
      <c r="C283" s="93" t="s">
        <v>951</v>
      </c>
      <c r="D283" s="114"/>
      <c r="E283" s="114"/>
      <c r="F283" s="114"/>
      <c r="G283" s="118"/>
      <c r="H283" s="89"/>
      <c r="I283" s="79">
        <v>250000.0</v>
      </c>
      <c r="J283" s="64"/>
      <c r="K283" s="64"/>
      <c r="L283" s="79">
        <v>250000.0</v>
      </c>
      <c r="M283" s="66"/>
      <c r="N283" s="69" t="s">
        <v>952</v>
      </c>
      <c r="O283" s="48" t="s">
        <v>116</v>
      </c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</row>
    <row r="284" ht="15.75" customHeight="1">
      <c r="A284" s="89"/>
      <c r="B284" s="114"/>
      <c r="C284" s="93" t="s">
        <v>953</v>
      </c>
      <c r="D284" s="114"/>
      <c r="E284" s="114"/>
      <c r="F284" s="114"/>
      <c r="G284" s="118"/>
      <c r="H284" s="89"/>
      <c r="I284" s="79">
        <v>5000000.0</v>
      </c>
      <c r="J284" s="64"/>
      <c r="K284" s="64"/>
      <c r="L284" s="79">
        <v>5000000.0</v>
      </c>
      <c r="M284" s="66"/>
      <c r="N284" s="69" t="s">
        <v>954</v>
      </c>
      <c r="O284" s="48" t="s">
        <v>116</v>
      </c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</row>
    <row r="285" ht="15.75" customHeight="1">
      <c r="A285" s="89"/>
      <c r="B285" s="114"/>
      <c r="C285" s="93" t="s">
        <v>955</v>
      </c>
      <c r="D285" s="114"/>
      <c r="E285" s="115" t="s">
        <v>956</v>
      </c>
      <c r="F285" s="115" t="s">
        <v>957</v>
      </c>
      <c r="G285" s="118"/>
      <c r="H285" s="89"/>
      <c r="I285" s="79">
        <v>6750000.0</v>
      </c>
      <c r="J285" s="64"/>
      <c r="K285" s="64"/>
      <c r="L285" s="79">
        <v>6750000.0</v>
      </c>
      <c r="M285" s="66"/>
      <c r="N285" s="69" t="s">
        <v>958</v>
      </c>
      <c r="O285" s="48" t="s">
        <v>116</v>
      </c>
      <c r="P285" s="69" t="s">
        <v>959</v>
      </c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</row>
    <row r="286" ht="15.75" customHeight="1">
      <c r="A286" s="89"/>
      <c r="B286" s="114"/>
      <c r="C286" s="93" t="s">
        <v>513</v>
      </c>
      <c r="D286" s="114"/>
      <c r="E286" s="114"/>
      <c r="F286" s="114"/>
      <c r="G286" s="118"/>
      <c r="H286" s="89"/>
      <c r="I286" s="79">
        <v>5000000.0</v>
      </c>
      <c r="J286" s="64"/>
      <c r="K286" s="64"/>
      <c r="L286" s="79">
        <v>5000000.0</v>
      </c>
      <c r="M286" s="66"/>
      <c r="N286" s="48"/>
      <c r="O286" s="48" t="s">
        <v>116</v>
      </c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</row>
    <row r="287" ht="15.75" customHeight="1">
      <c r="A287" s="89"/>
      <c r="B287" s="114"/>
      <c r="C287" s="93" t="s">
        <v>960</v>
      </c>
      <c r="D287" s="114"/>
      <c r="E287" s="115" t="s">
        <v>888</v>
      </c>
      <c r="F287" s="114"/>
      <c r="G287" s="118"/>
      <c r="H287" s="89"/>
      <c r="I287" s="79">
        <v>431000.0</v>
      </c>
      <c r="J287" s="64"/>
      <c r="K287" s="64"/>
      <c r="L287" s="79">
        <v>431000.0</v>
      </c>
      <c r="M287" s="66"/>
      <c r="N287" s="69" t="s">
        <v>961</v>
      </c>
      <c r="O287" s="48" t="s">
        <v>116</v>
      </c>
      <c r="P287" s="48"/>
      <c r="Q287" s="46" t="s">
        <v>962</v>
      </c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</row>
    <row r="288" ht="15.75" customHeight="1">
      <c r="A288" s="89"/>
      <c r="B288" s="114"/>
      <c r="C288" s="93" t="s">
        <v>963</v>
      </c>
      <c r="D288" s="114"/>
      <c r="E288" s="115" t="s">
        <v>888</v>
      </c>
      <c r="F288" s="114"/>
      <c r="G288" s="118"/>
      <c r="H288" s="89"/>
      <c r="I288" s="79">
        <v>1084553.0</v>
      </c>
      <c r="J288" s="64"/>
      <c r="K288" s="64"/>
      <c r="L288" s="79">
        <v>1084553.0</v>
      </c>
      <c r="M288" s="66"/>
      <c r="N288" s="69" t="s">
        <v>964</v>
      </c>
      <c r="O288" s="48" t="s">
        <v>116</v>
      </c>
      <c r="P288" s="48"/>
      <c r="Q288" s="46" t="s">
        <v>965</v>
      </c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</row>
    <row r="289" ht="15.75" customHeight="1">
      <c r="A289" s="89"/>
      <c r="B289" s="114"/>
      <c r="C289" s="93" t="s">
        <v>966</v>
      </c>
      <c r="D289" s="114"/>
      <c r="E289" s="114"/>
      <c r="F289" s="114"/>
      <c r="G289" s="118"/>
      <c r="H289" s="89"/>
      <c r="I289" s="79">
        <v>100000.0</v>
      </c>
      <c r="J289" s="64"/>
      <c r="K289" s="64"/>
      <c r="L289" s="79">
        <v>100000.0</v>
      </c>
      <c r="M289" s="66"/>
      <c r="N289" s="69" t="s">
        <v>967</v>
      </c>
      <c r="O289" s="48" t="s">
        <v>116</v>
      </c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</row>
    <row r="290" ht="15.75" customHeight="1">
      <c r="A290" s="89"/>
      <c r="B290" s="114"/>
      <c r="C290" s="93" t="s">
        <v>968</v>
      </c>
      <c r="D290" s="114"/>
      <c r="E290" s="114"/>
      <c r="F290" s="114"/>
      <c r="G290" s="118"/>
      <c r="H290" s="89"/>
      <c r="I290" s="79">
        <v>262000.0</v>
      </c>
      <c r="J290" s="64"/>
      <c r="K290" s="64"/>
      <c r="L290" s="79">
        <v>262000.0</v>
      </c>
      <c r="M290" s="66"/>
      <c r="N290" s="69" t="s">
        <v>969</v>
      </c>
      <c r="O290" s="48" t="s">
        <v>116</v>
      </c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</row>
    <row r="291" ht="15.75" customHeight="1">
      <c r="A291" s="89"/>
      <c r="B291" s="114"/>
      <c r="C291" s="93" t="s">
        <v>970</v>
      </c>
      <c r="D291" s="114"/>
      <c r="E291" s="114"/>
      <c r="F291" s="114"/>
      <c r="G291" s="118"/>
      <c r="H291" s="89"/>
      <c r="I291" s="79">
        <v>440000.0</v>
      </c>
      <c r="J291" s="64"/>
      <c r="K291" s="64"/>
      <c r="L291" s="79">
        <v>440000.0</v>
      </c>
      <c r="M291" s="66"/>
      <c r="N291" s="69" t="s">
        <v>971</v>
      </c>
      <c r="O291" s="48" t="s">
        <v>116</v>
      </c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</row>
    <row r="292" ht="15.75" customHeight="1">
      <c r="A292" s="89"/>
      <c r="B292" s="114"/>
      <c r="C292" s="93" t="s">
        <v>972</v>
      </c>
      <c r="D292" s="114"/>
      <c r="E292" s="114"/>
      <c r="F292" s="114"/>
      <c r="G292" s="118"/>
      <c r="H292" s="89"/>
      <c r="I292" s="79">
        <v>436630.0</v>
      </c>
      <c r="J292" s="64"/>
      <c r="K292" s="64"/>
      <c r="L292" s="79">
        <v>436630.0</v>
      </c>
      <c r="M292" s="66"/>
      <c r="N292" s="69" t="s">
        <v>973</v>
      </c>
      <c r="O292" s="48" t="s">
        <v>116</v>
      </c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</row>
    <row r="293" ht="15.75" customHeight="1">
      <c r="A293" s="89"/>
      <c r="B293" s="114"/>
      <c r="C293" s="93" t="s">
        <v>974</v>
      </c>
      <c r="D293" s="114"/>
      <c r="E293" s="114"/>
      <c r="F293" s="114"/>
      <c r="G293" s="118"/>
      <c r="H293" s="89"/>
      <c r="I293" s="79">
        <v>1500072.0</v>
      </c>
      <c r="J293" s="64"/>
      <c r="K293" s="64"/>
      <c r="L293" s="79">
        <v>1500072.0</v>
      </c>
      <c r="M293" s="66"/>
      <c r="N293" s="69" t="s">
        <v>975</v>
      </c>
      <c r="O293" s="48" t="s">
        <v>116</v>
      </c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</row>
    <row r="294" ht="15.75" customHeight="1">
      <c r="A294" s="89"/>
      <c r="B294" s="114"/>
      <c r="C294" s="93" t="s">
        <v>976</v>
      </c>
      <c r="D294" s="114"/>
      <c r="E294" s="114"/>
      <c r="F294" s="114"/>
      <c r="G294" s="118"/>
      <c r="H294" s="89"/>
      <c r="I294" s="79">
        <v>345099.0</v>
      </c>
      <c r="J294" s="64"/>
      <c r="K294" s="64"/>
      <c r="L294" s="79">
        <v>345099.0</v>
      </c>
      <c r="M294" s="66"/>
      <c r="N294" s="69" t="s">
        <v>977</v>
      </c>
      <c r="O294" s="48" t="s">
        <v>116</v>
      </c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</row>
    <row r="295" ht="15.75" customHeight="1">
      <c r="A295" s="89"/>
      <c r="B295" s="114"/>
      <c r="C295" s="93" t="s">
        <v>978</v>
      </c>
      <c r="D295" s="114"/>
      <c r="E295" s="115" t="s">
        <v>979</v>
      </c>
      <c r="F295" s="115" t="s">
        <v>980</v>
      </c>
      <c r="G295" s="118"/>
      <c r="H295" s="89"/>
      <c r="I295" s="79">
        <v>1.105E7</v>
      </c>
      <c r="J295" s="64"/>
      <c r="K295" s="64"/>
      <c r="L295" s="79">
        <v>1.105E7</v>
      </c>
      <c r="M295" s="66"/>
      <c r="N295" s="69" t="s">
        <v>981</v>
      </c>
      <c r="O295" s="48" t="s">
        <v>116</v>
      </c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</row>
    <row r="296" ht="15.75" customHeight="1">
      <c r="A296" s="89"/>
      <c r="B296" s="114"/>
      <c r="C296" s="93" t="s">
        <v>982</v>
      </c>
      <c r="D296" s="114"/>
      <c r="E296" s="115" t="s">
        <v>979</v>
      </c>
      <c r="F296" s="115" t="s">
        <v>983</v>
      </c>
      <c r="G296" s="118"/>
      <c r="H296" s="89"/>
      <c r="I296" s="79">
        <v>7255000.0</v>
      </c>
      <c r="J296" s="64"/>
      <c r="K296" s="64"/>
      <c r="L296" s="79">
        <v>7255000.0</v>
      </c>
      <c r="M296" s="66"/>
      <c r="N296" s="69" t="s">
        <v>984</v>
      </c>
      <c r="O296" s="46" t="s">
        <v>116</v>
      </c>
      <c r="P296" s="48"/>
      <c r="Q296" s="46" t="s">
        <v>985</v>
      </c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</row>
    <row r="297" ht="15.75" customHeight="1">
      <c r="A297" s="89"/>
      <c r="B297" s="114"/>
      <c r="C297" s="93" t="s">
        <v>986</v>
      </c>
      <c r="D297" s="114"/>
      <c r="E297" s="115" t="s">
        <v>694</v>
      </c>
      <c r="F297" s="114"/>
      <c r="G297" s="118"/>
      <c r="H297" s="89"/>
      <c r="I297" s="79">
        <v>741000.0</v>
      </c>
      <c r="J297" s="64"/>
      <c r="K297" s="64"/>
      <c r="L297" s="79">
        <v>741000.0</v>
      </c>
      <c r="M297" s="66"/>
      <c r="N297" s="69" t="s">
        <v>987</v>
      </c>
      <c r="O297" s="48" t="s">
        <v>116</v>
      </c>
      <c r="P297" s="48"/>
      <c r="Q297" s="46" t="s">
        <v>988</v>
      </c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</row>
    <row r="298" ht="15.75" customHeight="1">
      <c r="A298" s="89"/>
      <c r="B298" s="114"/>
      <c r="C298" s="93" t="s">
        <v>989</v>
      </c>
      <c r="D298" s="114"/>
      <c r="E298" s="115" t="s">
        <v>694</v>
      </c>
      <c r="F298" s="114"/>
      <c r="G298" s="118"/>
      <c r="H298" s="89"/>
      <c r="I298" s="79">
        <v>595000.0</v>
      </c>
      <c r="J298" s="64"/>
      <c r="K298" s="64"/>
      <c r="L298" s="79">
        <v>595000.0</v>
      </c>
      <c r="M298" s="66"/>
      <c r="N298" s="69" t="s">
        <v>990</v>
      </c>
      <c r="O298" s="48" t="s">
        <v>116</v>
      </c>
      <c r="P298" s="48"/>
      <c r="Q298" s="46" t="s">
        <v>991</v>
      </c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</row>
    <row r="299" ht="15.75" customHeight="1">
      <c r="A299" s="89"/>
      <c r="B299" s="114"/>
      <c r="C299" s="93" t="s">
        <v>992</v>
      </c>
      <c r="D299" s="114"/>
      <c r="E299" s="115" t="s">
        <v>993</v>
      </c>
      <c r="F299" s="115" t="s">
        <v>994</v>
      </c>
      <c r="G299" s="118"/>
      <c r="H299" s="89"/>
      <c r="I299" s="79">
        <v>4902000.0</v>
      </c>
      <c r="J299" s="79">
        <v>539220.0</v>
      </c>
      <c r="K299" s="64"/>
      <c r="L299" s="79">
        <f t="shared" ref="L299:L300" si="32">I299+J299</f>
        <v>5441220</v>
      </c>
      <c r="M299" s="66"/>
      <c r="N299" s="69" t="s">
        <v>995</v>
      </c>
      <c r="O299" s="48" t="s">
        <v>116</v>
      </c>
      <c r="P299" s="48"/>
      <c r="Q299" s="46" t="s">
        <v>996</v>
      </c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</row>
    <row r="300" ht="15.75" customHeight="1">
      <c r="A300" s="89"/>
      <c r="B300" s="114"/>
      <c r="C300" s="93" t="s">
        <v>997</v>
      </c>
      <c r="D300" s="114"/>
      <c r="E300" s="115" t="s">
        <v>998</v>
      </c>
      <c r="F300" s="115" t="s">
        <v>999</v>
      </c>
      <c r="G300" s="118"/>
      <c r="H300" s="89"/>
      <c r="I300" s="79">
        <v>1.359E7</v>
      </c>
      <c r="J300" s="79">
        <v>1494900.0</v>
      </c>
      <c r="K300" s="64"/>
      <c r="L300" s="64">
        <f t="shared" si="32"/>
        <v>15084900</v>
      </c>
      <c r="M300" s="66"/>
      <c r="N300" s="69" t="s">
        <v>1000</v>
      </c>
      <c r="O300" s="48" t="s">
        <v>116</v>
      </c>
      <c r="P300" s="48"/>
      <c r="Q300" s="69" t="s">
        <v>1001</v>
      </c>
      <c r="R300" s="46" t="s">
        <v>1002</v>
      </c>
      <c r="S300" s="48"/>
      <c r="T300" s="48"/>
      <c r="U300" s="48"/>
      <c r="V300" s="48"/>
      <c r="W300" s="48"/>
      <c r="X300" s="48"/>
      <c r="Y300" s="48"/>
      <c r="Z300" s="48"/>
      <c r="AA300" s="48"/>
      <c r="AB300" s="48"/>
    </row>
    <row r="301" ht="15.75" customHeight="1">
      <c r="A301" s="89"/>
      <c r="B301" s="114"/>
      <c r="C301" s="93" t="s">
        <v>1003</v>
      </c>
      <c r="D301" s="114"/>
      <c r="E301" s="114"/>
      <c r="F301" s="114"/>
      <c r="G301" s="118"/>
      <c r="H301" s="89"/>
      <c r="I301" s="79">
        <v>1647000.0</v>
      </c>
      <c r="J301" s="64"/>
      <c r="K301" s="64"/>
      <c r="L301" s="79">
        <v>1647000.0</v>
      </c>
      <c r="M301" s="66"/>
      <c r="N301" s="69" t="s">
        <v>1004</v>
      </c>
      <c r="O301" s="48" t="s">
        <v>116</v>
      </c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</row>
    <row r="302" ht="15.75" customHeight="1">
      <c r="A302" s="89"/>
      <c r="B302" s="114"/>
      <c r="C302" s="93" t="s">
        <v>1005</v>
      </c>
      <c r="D302" s="114"/>
      <c r="E302" s="114"/>
      <c r="F302" s="114"/>
      <c r="G302" s="118"/>
      <c r="H302" s="89"/>
      <c r="I302" s="79">
        <v>8754812.0</v>
      </c>
      <c r="J302" s="79">
        <v>963029.0</v>
      </c>
      <c r="K302" s="79">
        <v>175096.0</v>
      </c>
      <c r="L302" s="64">
        <f>I302+J302-K302</f>
        <v>9542745</v>
      </c>
      <c r="M302" s="66"/>
      <c r="N302" s="69" t="s">
        <v>1006</v>
      </c>
      <c r="O302" s="46" t="s">
        <v>116</v>
      </c>
      <c r="P302" s="69" t="s">
        <v>1007</v>
      </c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</row>
    <row r="303" ht="15.75" customHeight="1">
      <c r="A303" s="89"/>
      <c r="B303" s="114"/>
      <c r="C303" s="93" t="s">
        <v>1008</v>
      </c>
      <c r="D303" s="114"/>
      <c r="E303" s="114"/>
      <c r="F303" s="114"/>
      <c r="G303" s="118"/>
      <c r="H303" s="89"/>
      <c r="I303" s="79">
        <v>6285745.0</v>
      </c>
      <c r="J303" s="64"/>
      <c r="K303" s="64"/>
      <c r="L303" s="79">
        <v>6285745.0</v>
      </c>
      <c r="M303" s="66"/>
      <c r="N303" s="69" t="s">
        <v>1009</v>
      </c>
      <c r="O303" s="46" t="s">
        <v>116</v>
      </c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</row>
    <row r="304" ht="15.75" customHeight="1">
      <c r="A304" s="89"/>
      <c r="B304" s="114"/>
      <c r="C304" s="93" t="s">
        <v>1010</v>
      </c>
      <c r="D304" s="114"/>
      <c r="E304" s="114"/>
      <c r="F304" s="114"/>
      <c r="G304" s="118"/>
      <c r="H304" s="89"/>
      <c r="I304" s="79">
        <v>1235800.0</v>
      </c>
      <c r="J304" s="64"/>
      <c r="K304" s="64"/>
      <c r="L304" s="79">
        <v>1235800.0</v>
      </c>
      <c r="M304" s="66"/>
      <c r="N304" s="69" t="s">
        <v>1011</v>
      </c>
      <c r="O304" s="46" t="s">
        <v>116</v>
      </c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</row>
    <row r="305" ht="15.75" customHeight="1">
      <c r="A305" s="89"/>
      <c r="B305" s="114"/>
      <c r="C305" s="93" t="s">
        <v>1012</v>
      </c>
      <c r="D305" s="114"/>
      <c r="E305" s="115" t="s">
        <v>1013</v>
      </c>
      <c r="F305" s="115" t="s">
        <v>1014</v>
      </c>
      <c r="G305" s="118"/>
      <c r="H305" s="89"/>
      <c r="I305" s="79">
        <v>5062500.0</v>
      </c>
      <c r="J305" s="64"/>
      <c r="K305" s="64"/>
      <c r="L305" s="79">
        <v>5062500.0</v>
      </c>
      <c r="M305" s="128" t="s">
        <v>320</v>
      </c>
      <c r="N305" s="69" t="s">
        <v>1015</v>
      </c>
      <c r="O305" s="46" t="s">
        <v>1016</v>
      </c>
      <c r="P305" s="69" t="s">
        <v>1017</v>
      </c>
      <c r="Q305" s="46" t="s">
        <v>1018</v>
      </c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</row>
    <row r="306" ht="15.75" customHeight="1">
      <c r="A306" s="89"/>
      <c r="B306" s="114"/>
      <c r="C306" s="93" t="s">
        <v>1019</v>
      </c>
      <c r="D306" s="114"/>
      <c r="E306" s="115" t="s">
        <v>1020</v>
      </c>
      <c r="F306" s="92"/>
      <c r="G306" s="118"/>
      <c r="H306" s="89"/>
      <c r="I306" s="79">
        <v>1654688.0</v>
      </c>
      <c r="J306" s="64"/>
      <c r="K306" s="64"/>
      <c r="L306" s="79">
        <f>I306</f>
        <v>1654688</v>
      </c>
      <c r="M306" s="66"/>
      <c r="N306" s="69" t="s">
        <v>1021</v>
      </c>
      <c r="O306" s="46" t="s">
        <v>116</v>
      </c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</row>
    <row r="307" ht="15.75" customHeight="1">
      <c r="A307" s="97"/>
      <c r="B307" s="132"/>
      <c r="C307" s="99" t="s">
        <v>1022</v>
      </c>
      <c r="D307" s="132"/>
      <c r="E307" s="133" t="s">
        <v>1023</v>
      </c>
      <c r="F307" s="133" t="s">
        <v>1024</v>
      </c>
      <c r="G307" s="135"/>
      <c r="H307" s="97"/>
      <c r="I307" s="134">
        <v>1272000.0</v>
      </c>
      <c r="J307" s="134">
        <v>139920.0</v>
      </c>
      <c r="K307" s="105"/>
      <c r="L307" s="105">
        <f>I307+J307</f>
        <v>1411920</v>
      </c>
      <c r="M307" s="106"/>
      <c r="N307" s="101" t="s">
        <v>1025</v>
      </c>
      <c r="O307" s="107" t="s">
        <v>116</v>
      </c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</row>
    <row r="308" ht="15.75" customHeight="1">
      <c r="A308" s="89"/>
      <c r="B308" s="114"/>
      <c r="C308" s="93" t="s">
        <v>1026</v>
      </c>
      <c r="D308" s="114"/>
      <c r="E308" s="114"/>
      <c r="F308" s="114"/>
      <c r="G308" s="118"/>
      <c r="H308" s="89"/>
      <c r="I308" s="79">
        <v>950000.0</v>
      </c>
      <c r="J308" s="64"/>
      <c r="K308" s="64"/>
      <c r="L308" s="79">
        <v>950000.0</v>
      </c>
      <c r="M308" s="66"/>
      <c r="N308" s="69" t="s">
        <v>1027</v>
      </c>
      <c r="O308" s="46" t="s">
        <v>116</v>
      </c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</row>
    <row r="309" ht="15.75" customHeight="1">
      <c r="A309" s="89"/>
      <c r="B309" s="114"/>
      <c r="C309" s="93" t="s">
        <v>513</v>
      </c>
      <c r="D309" s="114"/>
      <c r="E309" s="114"/>
      <c r="F309" s="114"/>
      <c r="G309" s="118"/>
      <c r="H309" s="89"/>
      <c r="I309" s="79">
        <v>5000000.0</v>
      </c>
      <c r="J309" s="64"/>
      <c r="K309" s="64"/>
      <c r="L309" s="79">
        <v>5000000.0</v>
      </c>
      <c r="M309" s="66"/>
      <c r="N309" s="48"/>
      <c r="O309" s="46" t="s">
        <v>116</v>
      </c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</row>
    <row r="310" ht="15.75" customHeight="1">
      <c r="A310" s="89"/>
      <c r="B310" s="114"/>
      <c r="C310" s="93" t="s">
        <v>1028</v>
      </c>
      <c r="D310" s="114"/>
      <c r="E310" s="114"/>
      <c r="F310" s="114"/>
      <c r="G310" s="118"/>
      <c r="I310" s="79">
        <v>360000.0</v>
      </c>
      <c r="J310" s="64"/>
      <c r="K310" s="64"/>
      <c r="L310" s="79">
        <v>360000.0</v>
      </c>
      <c r="M310" s="66"/>
      <c r="N310" s="69" t="s">
        <v>1029</v>
      </c>
      <c r="O310" s="46" t="s">
        <v>116</v>
      </c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</row>
    <row r="311" ht="15.75" customHeight="1">
      <c r="A311" s="89"/>
      <c r="B311" s="114"/>
      <c r="C311" s="93" t="s">
        <v>1030</v>
      </c>
      <c r="D311" s="114"/>
      <c r="E311" s="114"/>
      <c r="F311" s="114"/>
      <c r="G311" s="118"/>
      <c r="H311" s="89"/>
      <c r="I311" s="79">
        <v>539999.0</v>
      </c>
      <c r="J311" s="64"/>
      <c r="K311" s="64"/>
      <c r="L311" s="79">
        <v>539999.0</v>
      </c>
      <c r="M311" s="66"/>
      <c r="N311" s="69" t="s">
        <v>1031</v>
      </c>
      <c r="O311" s="46" t="s">
        <v>116</v>
      </c>
      <c r="P311" s="46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</row>
    <row r="312" ht="15.75" customHeight="1">
      <c r="A312" s="89"/>
      <c r="B312" s="114"/>
      <c r="C312" s="93" t="s">
        <v>1032</v>
      </c>
      <c r="D312" s="114"/>
      <c r="E312" s="114"/>
      <c r="F312" s="114"/>
      <c r="G312" s="118"/>
      <c r="H312" s="89"/>
      <c r="I312" s="79">
        <v>268000.0</v>
      </c>
      <c r="J312" s="64"/>
      <c r="K312" s="64"/>
      <c r="L312" s="79">
        <v>268000.0</v>
      </c>
      <c r="M312" s="66"/>
      <c r="N312" s="69" t="s">
        <v>1032</v>
      </c>
      <c r="O312" s="46" t="s">
        <v>116</v>
      </c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</row>
    <row r="313" ht="15.75" customHeight="1">
      <c r="A313" s="89"/>
      <c r="B313" s="114"/>
      <c r="C313" s="136" t="s">
        <v>1033</v>
      </c>
      <c r="D313" s="137"/>
      <c r="E313" s="137"/>
      <c r="F313" s="137"/>
      <c r="G313" s="138"/>
      <c r="H313" s="139"/>
      <c r="I313" s="140">
        <v>2207800.0</v>
      </c>
      <c r="J313" s="141"/>
      <c r="K313" s="141"/>
      <c r="L313" s="140">
        <v>2207800.0</v>
      </c>
      <c r="M313" s="142"/>
      <c r="N313" s="143" t="s">
        <v>1034</v>
      </c>
      <c r="O313" s="51" t="s">
        <v>116</v>
      </c>
      <c r="P313" s="51" t="s">
        <v>1035</v>
      </c>
      <c r="Q313" s="144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</row>
    <row r="314" ht="15.75" customHeight="1">
      <c r="A314" s="89"/>
      <c r="B314" s="114"/>
      <c r="C314" s="93" t="s">
        <v>1036</v>
      </c>
      <c r="D314" s="114"/>
      <c r="E314" s="114"/>
      <c r="F314" s="114"/>
      <c r="G314" s="118"/>
      <c r="H314" s="89"/>
      <c r="I314" s="79">
        <v>855330.0</v>
      </c>
      <c r="J314" s="64"/>
      <c r="K314" s="64"/>
      <c r="L314" s="79">
        <v>855330.0</v>
      </c>
      <c r="M314" s="66"/>
      <c r="N314" s="69" t="s">
        <v>1037</v>
      </c>
      <c r="O314" s="46" t="s">
        <v>116</v>
      </c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</row>
    <row r="315" ht="15.75" customHeight="1">
      <c r="A315" s="89"/>
      <c r="B315" s="114"/>
      <c r="C315" s="93" t="s">
        <v>1038</v>
      </c>
      <c r="D315" s="114"/>
      <c r="E315" s="115" t="s">
        <v>1039</v>
      </c>
      <c r="F315" s="115" t="s">
        <v>1040</v>
      </c>
      <c r="G315" s="118"/>
      <c r="H315" s="89"/>
      <c r="I315" s="79">
        <v>1623242.0</v>
      </c>
      <c r="J315" s="79">
        <v>178557.0</v>
      </c>
      <c r="K315" s="64"/>
      <c r="L315" s="64">
        <f>I315+J315</f>
        <v>1801799</v>
      </c>
      <c r="M315" s="66"/>
      <c r="N315" s="69" t="s">
        <v>1041</v>
      </c>
      <c r="O315" s="46" t="s">
        <v>116</v>
      </c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</row>
    <row r="316" ht="15.75" customHeight="1">
      <c r="A316" s="89"/>
      <c r="B316" s="114"/>
      <c r="C316" s="93" t="s">
        <v>1042</v>
      </c>
      <c r="D316" s="114"/>
      <c r="E316" s="115" t="s">
        <v>1039</v>
      </c>
      <c r="F316" s="115" t="s">
        <v>1043</v>
      </c>
      <c r="G316" s="118"/>
      <c r="H316" s="89"/>
      <c r="I316" s="79">
        <v>360000.0</v>
      </c>
      <c r="J316" s="64"/>
      <c r="K316" s="64"/>
      <c r="L316" s="79">
        <v>360000.0</v>
      </c>
      <c r="M316" s="66"/>
      <c r="N316" s="69" t="s">
        <v>1044</v>
      </c>
      <c r="O316" s="46" t="s">
        <v>116</v>
      </c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</row>
    <row r="317" ht="15.75" customHeight="1">
      <c r="A317" s="89"/>
      <c r="B317" s="114"/>
      <c r="C317" s="93" t="s">
        <v>1045</v>
      </c>
      <c r="D317" s="114"/>
      <c r="E317" s="114"/>
      <c r="F317" s="114"/>
      <c r="G317" s="118"/>
      <c r="H317" s="89"/>
      <c r="I317" s="79">
        <v>1270415.0</v>
      </c>
      <c r="J317" s="64"/>
      <c r="K317" s="64"/>
      <c r="L317" s="79">
        <v>1270415.0</v>
      </c>
      <c r="M317" s="66"/>
      <c r="N317" s="69" t="s">
        <v>1046</v>
      </c>
      <c r="O317" s="46" t="s">
        <v>116</v>
      </c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</row>
    <row r="318" ht="15.75" customHeight="1">
      <c r="A318" s="89"/>
      <c r="B318" s="114"/>
      <c r="C318" s="93" t="s">
        <v>1047</v>
      </c>
      <c r="D318" s="114"/>
      <c r="E318" s="114"/>
      <c r="F318" s="114"/>
      <c r="G318" s="118"/>
      <c r="H318" s="89"/>
      <c r="I318" s="79">
        <v>365859.0</v>
      </c>
      <c r="J318" s="64"/>
      <c r="K318" s="64"/>
      <c r="L318" s="79">
        <v>365859.0</v>
      </c>
      <c r="M318" s="66"/>
      <c r="N318" s="69" t="s">
        <v>1048</v>
      </c>
      <c r="O318" s="46" t="s">
        <v>116</v>
      </c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</row>
    <row r="319" ht="15.75" customHeight="1">
      <c r="A319" s="89"/>
      <c r="B319" s="114"/>
      <c r="C319" s="93" t="s">
        <v>1049</v>
      </c>
      <c r="D319" s="114"/>
      <c r="E319" s="115" t="s">
        <v>1050</v>
      </c>
      <c r="F319" s="115" t="s">
        <v>1051</v>
      </c>
      <c r="G319" s="118"/>
      <c r="H319" s="89"/>
      <c r="I319" s="79">
        <v>3.8053127E7</v>
      </c>
      <c r="J319" s="79">
        <v>4185844.0</v>
      </c>
      <c r="K319" s="64"/>
      <c r="L319" s="64">
        <f t="shared" ref="L319:L320" si="33">I319+J319</f>
        <v>42238971</v>
      </c>
      <c r="M319" s="66"/>
      <c r="N319" s="69" t="s">
        <v>1052</v>
      </c>
      <c r="O319" s="46" t="s">
        <v>116</v>
      </c>
      <c r="P319" s="69" t="s">
        <v>1053</v>
      </c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</row>
    <row r="320" ht="15.75" customHeight="1">
      <c r="A320" s="89"/>
      <c r="B320" s="114"/>
      <c r="C320" s="93" t="s">
        <v>1054</v>
      </c>
      <c r="D320" s="114"/>
      <c r="E320" s="115" t="s">
        <v>1055</v>
      </c>
      <c r="F320" s="114"/>
      <c r="G320" s="118"/>
      <c r="H320" s="89"/>
      <c r="I320" s="79">
        <v>6036300.0</v>
      </c>
      <c r="J320" s="79">
        <v>663993.0</v>
      </c>
      <c r="K320" s="64"/>
      <c r="L320" s="64">
        <f t="shared" si="33"/>
        <v>6700293</v>
      </c>
      <c r="M320" s="66"/>
      <c r="N320" s="69" t="s">
        <v>1056</v>
      </c>
      <c r="O320" s="46" t="s">
        <v>116</v>
      </c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</row>
    <row r="321" ht="15.75" customHeight="1">
      <c r="A321" s="89"/>
      <c r="B321" s="114"/>
      <c r="C321" s="93" t="s">
        <v>1057</v>
      </c>
      <c r="D321" s="114"/>
      <c r="E321" s="114"/>
      <c r="F321" s="115" t="s">
        <v>1058</v>
      </c>
      <c r="G321" s="118"/>
      <c r="H321" s="89"/>
      <c r="I321" s="79">
        <v>6750000.0</v>
      </c>
      <c r="J321" s="64"/>
      <c r="K321" s="64"/>
      <c r="L321" s="79">
        <v>6750000.0</v>
      </c>
      <c r="M321" s="66"/>
      <c r="N321" s="69" t="s">
        <v>1059</v>
      </c>
      <c r="O321" s="46" t="s">
        <v>116</v>
      </c>
      <c r="P321" s="145" t="s">
        <v>1060</v>
      </c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</row>
    <row r="322" ht="15.75" customHeight="1">
      <c r="A322" s="89"/>
      <c r="B322" s="114"/>
      <c r="C322" s="93" t="s">
        <v>1061</v>
      </c>
      <c r="D322" s="114"/>
      <c r="E322" s="114"/>
      <c r="F322" s="114"/>
      <c r="G322" s="118"/>
      <c r="H322" s="89"/>
      <c r="I322" s="79">
        <v>842000.0</v>
      </c>
      <c r="J322" s="64"/>
      <c r="K322" s="64"/>
      <c r="L322" s="79">
        <v>842000.0</v>
      </c>
      <c r="M322" s="66"/>
      <c r="N322" s="48"/>
      <c r="O322" s="46" t="s">
        <v>116</v>
      </c>
      <c r="P322" s="46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</row>
    <row r="323" ht="15.75" customHeight="1">
      <c r="A323" s="89"/>
      <c r="B323" s="114"/>
      <c r="C323" s="93" t="s">
        <v>1062</v>
      </c>
      <c r="D323" s="114"/>
      <c r="E323" s="114"/>
      <c r="F323" s="114"/>
      <c r="G323" s="118"/>
      <c r="H323" s="89"/>
      <c r="I323" s="79">
        <v>677100.0</v>
      </c>
      <c r="J323" s="64"/>
      <c r="K323" s="64"/>
      <c r="L323" s="79">
        <v>677100.0</v>
      </c>
      <c r="M323" s="66"/>
      <c r="N323" s="48"/>
      <c r="O323" s="46" t="s">
        <v>116</v>
      </c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</row>
    <row r="324" ht="15.75" customHeight="1">
      <c r="A324" s="89"/>
      <c r="B324" s="114"/>
      <c r="C324" s="93" t="s">
        <v>1063</v>
      </c>
      <c r="D324" s="114"/>
      <c r="E324" s="114"/>
      <c r="F324" s="114"/>
      <c r="G324" s="118"/>
      <c r="H324" s="89"/>
      <c r="I324" s="79">
        <v>2000000.0</v>
      </c>
      <c r="J324" s="64"/>
      <c r="K324" s="64"/>
      <c r="L324" s="79">
        <v>2000000.0</v>
      </c>
      <c r="M324" s="66"/>
      <c r="N324" s="69" t="s">
        <v>1064</v>
      </c>
      <c r="O324" s="46" t="s">
        <v>116</v>
      </c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</row>
    <row r="325" ht="15.75" customHeight="1">
      <c r="A325" s="89"/>
      <c r="B325" s="114"/>
      <c r="C325" s="93" t="s">
        <v>1065</v>
      </c>
      <c r="D325" s="114"/>
      <c r="E325" s="114"/>
      <c r="F325" s="114"/>
      <c r="G325" s="118"/>
      <c r="H325" s="89"/>
      <c r="I325" s="79">
        <v>1000000.0</v>
      </c>
      <c r="J325" s="64"/>
      <c r="K325" s="64"/>
      <c r="L325" s="79">
        <v>1000000.0</v>
      </c>
      <c r="M325" s="66"/>
      <c r="N325" s="69" t="s">
        <v>1066</v>
      </c>
      <c r="O325" s="46" t="s">
        <v>116</v>
      </c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</row>
    <row r="326" ht="15.75" customHeight="1">
      <c r="A326" s="89"/>
      <c r="B326" s="114"/>
      <c r="C326" s="93" t="s">
        <v>1067</v>
      </c>
      <c r="D326" s="114"/>
      <c r="E326" s="115" t="s">
        <v>1068</v>
      </c>
      <c r="F326" s="115" t="s">
        <v>1069</v>
      </c>
      <c r="G326" s="118"/>
      <c r="H326" s="89"/>
      <c r="I326" s="79">
        <v>3000000.0</v>
      </c>
      <c r="J326" s="79">
        <v>330000.0</v>
      </c>
      <c r="K326" s="64"/>
      <c r="L326" s="64">
        <f>I326+J326</f>
        <v>3330000</v>
      </c>
      <c r="M326" s="66"/>
      <c r="N326" s="69" t="s">
        <v>1070</v>
      </c>
      <c r="O326" s="46" t="s">
        <v>116</v>
      </c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</row>
    <row r="327" ht="15.75" customHeight="1">
      <c r="A327" s="89"/>
      <c r="B327" s="114"/>
      <c r="C327" s="93" t="s">
        <v>513</v>
      </c>
      <c r="D327" s="114"/>
      <c r="E327" s="114"/>
      <c r="F327" s="114"/>
      <c r="G327" s="118"/>
      <c r="H327" s="89"/>
      <c r="I327" s="79">
        <v>5000000.0</v>
      </c>
      <c r="J327" s="64"/>
      <c r="K327" s="64"/>
      <c r="L327" s="79">
        <v>5000000.0</v>
      </c>
      <c r="M327" s="66"/>
      <c r="N327" s="48"/>
      <c r="O327" s="46" t="s">
        <v>116</v>
      </c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</row>
    <row r="328" ht="15.75" customHeight="1">
      <c r="A328" s="89"/>
      <c r="B328" s="114"/>
      <c r="C328" s="93" t="s">
        <v>1071</v>
      </c>
      <c r="D328" s="114"/>
      <c r="E328" s="115" t="s">
        <v>463</v>
      </c>
      <c r="F328" s="115" t="s">
        <v>1072</v>
      </c>
      <c r="G328" s="118"/>
      <c r="H328" s="89"/>
      <c r="I328" s="79">
        <v>7330400.0</v>
      </c>
      <c r="J328" s="79">
        <v>806344.0</v>
      </c>
      <c r="K328" s="64"/>
      <c r="L328" s="64">
        <f>I328+J328</f>
        <v>8136744</v>
      </c>
      <c r="M328" s="66"/>
      <c r="N328" s="69" t="s">
        <v>1073</v>
      </c>
      <c r="O328" s="48"/>
      <c r="P328" s="69" t="s">
        <v>1074</v>
      </c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</row>
    <row r="329" ht="15.75" customHeight="1">
      <c r="A329" s="89"/>
      <c r="B329" s="114"/>
      <c r="C329" s="93" t="s">
        <v>1075</v>
      </c>
      <c r="D329" s="114"/>
      <c r="E329" s="114"/>
      <c r="F329" s="114"/>
      <c r="G329" s="118"/>
      <c r="H329" s="89"/>
      <c r="I329" s="79">
        <v>501000.0</v>
      </c>
      <c r="J329" s="64"/>
      <c r="K329" s="64"/>
      <c r="L329" s="79">
        <v>501000.0</v>
      </c>
      <c r="M329" s="66"/>
      <c r="N329" s="69" t="s">
        <v>1076</v>
      </c>
      <c r="O329" s="46" t="s">
        <v>116</v>
      </c>
      <c r="P329" s="46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</row>
    <row r="330" ht="15.75" customHeight="1">
      <c r="A330" s="89"/>
      <c r="B330" s="114"/>
      <c r="C330" s="93" t="s">
        <v>1077</v>
      </c>
      <c r="D330" s="114"/>
      <c r="E330" s="114"/>
      <c r="F330" s="114"/>
      <c r="G330" s="118"/>
      <c r="H330" s="89"/>
      <c r="I330" s="79">
        <v>151467.0</v>
      </c>
      <c r="J330" s="64"/>
      <c r="K330" s="64"/>
      <c r="L330" s="79">
        <v>151467.0</v>
      </c>
      <c r="M330" s="66"/>
      <c r="N330" s="69" t="s">
        <v>1078</v>
      </c>
      <c r="O330" s="46" t="s">
        <v>116</v>
      </c>
      <c r="P330" s="46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</row>
    <row r="331" ht="15.75" customHeight="1">
      <c r="A331" s="89"/>
      <c r="B331" s="114"/>
      <c r="C331" s="93" t="s">
        <v>1079</v>
      </c>
      <c r="D331" s="114"/>
      <c r="E331" s="114"/>
      <c r="F331" s="114"/>
      <c r="G331" s="118"/>
      <c r="H331" s="89"/>
      <c r="I331" s="79">
        <v>700000.0</v>
      </c>
      <c r="J331" s="64"/>
      <c r="K331" s="64"/>
      <c r="L331" s="79">
        <v>700000.0</v>
      </c>
      <c r="M331" s="66"/>
      <c r="N331" s="69" t="s">
        <v>1080</v>
      </c>
      <c r="O331" s="46" t="s">
        <v>116</v>
      </c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</row>
    <row r="332" ht="15.75" customHeight="1">
      <c r="A332" s="89"/>
      <c r="B332" s="114"/>
      <c r="C332" s="93" t="s">
        <v>1081</v>
      </c>
      <c r="D332" s="114"/>
      <c r="E332" s="114"/>
      <c r="F332" s="114"/>
      <c r="G332" s="118"/>
      <c r="H332" s="89"/>
      <c r="I332" s="79">
        <v>431000.0</v>
      </c>
      <c r="J332" s="64"/>
      <c r="K332" s="64"/>
      <c r="L332" s="79">
        <v>431000.0</v>
      </c>
      <c r="M332" s="66"/>
      <c r="N332" s="69" t="s">
        <v>1082</v>
      </c>
      <c r="O332" s="46" t="s">
        <v>116</v>
      </c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</row>
    <row r="333" ht="15.75" customHeight="1">
      <c r="A333" s="89"/>
      <c r="B333" s="114"/>
      <c r="C333" s="93" t="s">
        <v>1083</v>
      </c>
      <c r="D333" s="114"/>
      <c r="E333" s="114"/>
      <c r="F333" s="114"/>
      <c r="G333" s="118"/>
      <c r="H333" s="89"/>
      <c r="I333" s="79">
        <v>735000.0</v>
      </c>
      <c r="J333" s="64"/>
      <c r="K333" s="64"/>
      <c r="L333" s="79">
        <v>735000.0</v>
      </c>
      <c r="M333" s="66"/>
      <c r="N333" s="69" t="s">
        <v>1084</v>
      </c>
      <c r="O333" s="46" t="s">
        <v>116</v>
      </c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</row>
    <row r="334" ht="15.75" customHeight="1">
      <c r="A334" s="89"/>
      <c r="B334" s="114"/>
      <c r="C334" s="93" t="s">
        <v>1085</v>
      </c>
      <c r="D334" s="114"/>
      <c r="E334" s="114"/>
      <c r="F334" s="114"/>
      <c r="G334" s="118"/>
      <c r="H334" s="89"/>
      <c r="I334" s="79">
        <v>400000.0</v>
      </c>
      <c r="J334" s="64"/>
      <c r="K334" s="64"/>
      <c r="L334" s="79">
        <v>400000.0</v>
      </c>
      <c r="M334" s="66"/>
      <c r="N334" s="69" t="s">
        <v>1086</v>
      </c>
      <c r="O334" s="46" t="s">
        <v>116</v>
      </c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</row>
    <row r="335" ht="15.75" customHeight="1">
      <c r="A335" s="89"/>
      <c r="B335" s="114"/>
      <c r="C335" s="93" t="s">
        <v>1087</v>
      </c>
      <c r="D335" s="114"/>
      <c r="E335" s="114"/>
      <c r="F335" s="114"/>
      <c r="G335" s="118"/>
      <c r="H335" s="89"/>
      <c r="I335" s="79">
        <v>378800.0</v>
      </c>
      <c r="J335" s="64"/>
      <c r="K335" s="64"/>
      <c r="L335" s="79">
        <v>378800.0</v>
      </c>
      <c r="M335" s="66"/>
      <c r="N335" s="69" t="s">
        <v>1088</v>
      </c>
      <c r="O335" s="46" t="s">
        <v>116</v>
      </c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</row>
    <row r="336" ht="15.75" customHeight="1">
      <c r="A336" s="89"/>
      <c r="B336" s="114"/>
      <c r="C336" s="93" t="s">
        <v>456</v>
      </c>
      <c r="D336" s="114"/>
      <c r="E336" s="114"/>
      <c r="F336" s="114"/>
      <c r="G336" s="118"/>
      <c r="H336" s="89"/>
      <c r="I336" s="79">
        <v>5000000.0</v>
      </c>
      <c r="J336" s="64"/>
      <c r="K336" s="64"/>
      <c r="L336" s="79">
        <v>5000000.0</v>
      </c>
      <c r="M336" s="66"/>
      <c r="N336" s="48"/>
      <c r="O336" s="46" t="s">
        <v>116</v>
      </c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</row>
    <row r="337" ht="15.75" customHeight="1">
      <c r="A337" s="89"/>
      <c r="B337" s="114"/>
      <c r="C337" s="93" t="s">
        <v>1089</v>
      </c>
      <c r="D337" s="114"/>
      <c r="E337" s="114"/>
      <c r="F337" s="114"/>
      <c r="G337" s="118"/>
      <c r="H337" s="89"/>
      <c r="I337" s="79">
        <v>2361601.0</v>
      </c>
      <c r="J337" s="64"/>
      <c r="K337" s="64"/>
      <c r="L337" s="79">
        <v>2361601.0</v>
      </c>
      <c r="M337" s="66"/>
      <c r="N337" s="69" t="s">
        <v>1090</v>
      </c>
      <c r="O337" s="46" t="s">
        <v>116</v>
      </c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</row>
    <row r="338" ht="15.75" customHeight="1">
      <c r="A338" s="89"/>
      <c r="B338" s="114"/>
      <c r="C338" s="93" t="s">
        <v>1091</v>
      </c>
      <c r="D338" s="114"/>
      <c r="E338" s="114"/>
      <c r="F338" s="114"/>
      <c r="G338" s="118"/>
      <c r="H338" s="89"/>
      <c r="I338" s="79">
        <v>286100.0</v>
      </c>
      <c r="J338" s="64"/>
      <c r="K338" s="64"/>
      <c r="L338" s="79">
        <v>286100.0</v>
      </c>
      <c r="M338" s="66"/>
      <c r="N338" s="146" t="s">
        <v>1092</v>
      </c>
      <c r="O338" s="46" t="s">
        <v>116</v>
      </c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</row>
    <row r="339" ht="15.75" customHeight="1">
      <c r="A339" s="89"/>
      <c r="B339" s="114"/>
      <c r="C339" s="93" t="s">
        <v>1093</v>
      </c>
      <c r="D339" s="114"/>
      <c r="E339" s="115" t="s">
        <v>1094</v>
      </c>
      <c r="F339" s="115" t="s">
        <v>1095</v>
      </c>
      <c r="G339" s="118"/>
      <c r="H339" s="89"/>
      <c r="I339" s="79">
        <v>1948050.0</v>
      </c>
      <c r="J339" s="64"/>
      <c r="K339" s="64"/>
      <c r="L339" s="79">
        <f t="shared" ref="L339:L340" si="34">I339</f>
        <v>1948050</v>
      </c>
      <c r="M339" s="66"/>
      <c r="N339" s="69" t="s">
        <v>1096</v>
      </c>
      <c r="O339" s="46" t="s">
        <v>116</v>
      </c>
      <c r="P339" s="48"/>
      <c r="Q339" s="46" t="s">
        <v>1097</v>
      </c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</row>
    <row r="340" ht="15.75" customHeight="1">
      <c r="A340" s="89"/>
      <c r="B340" s="114"/>
      <c r="C340" s="93" t="s">
        <v>1098</v>
      </c>
      <c r="D340" s="114"/>
      <c r="E340" s="115" t="s">
        <v>1099</v>
      </c>
      <c r="F340" s="115" t="s">
        <v>1100</v>
      </c>
      <c r="G340" s="118"/>
      <c r="H340" s="89"/>
      <c r="I340" s="79">
        <v>618148.0</v>
      </c>
      <c r="J340" s="64"/>
      <c r="K340" s="64"/>
      <c r="L340" s="64">
        <f t="shared" si="34"/>
        <v>618148</v>
      </c>
      <c r="M340" s="66"/>
      <c r="N340" s="69" t="s">
        <v>1101</v>
      </c>
      <c r="O340" s="46" t="s">
        <v>116</v>
      </c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</row>
    <row r="341" ht="15.75" customHeight="1">
      <c r="A341" s="89"/>
      <c r="B341" s="114"/>
      <c r="C341" s="93" t="s">
        <v>1102</v>
      </c>
      <c r="D341" s="114"/>
      <c r="E341" s="115" t="s">
        <v>1099</v>
      </c>
      <c r="F341" s="114"/>
      <c r="G341" s="118"/>
      <c r="H341" s="89"/>
      <c r="I341" s="79">
        <v>554000.0</v>
      </c>
      <c r="J341" s="64"/>
      <c r="K341" s="64"/>
      <c r="L341" s="79">
        <v>554000.0</v>
      </c>
      <c r="M341" s="66"/>
      <c r="N341" s="69" t="s">
        <v>1103</v>
      </c>
      <c r="O341" s="46" t="s">
        <v>116</v>
      </c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</row>
    <row r="342" ht="15.75" customHeight="1">
      <c r="A342" s="89"/>
      <c r="B342" s="114"/>
      <c r="C342" s="93" t="s">
        <v>1104</v>
      </c>
      <c r="D342" s="114"/>
      <c r="E342" s="115" t="s">
        <v>1099</v>
      </c>
      <c r="F342" s="115" t="s">
        <v>1105</v>
      </c>
      <c r="G342" s="118"/>
      <c r="H342" s="89"/>
      <c r="I342" s="79">
        <v>2913750.0</v>
      </c>
      <c r="J342" s="64"/>
      <c r="K342" s="64"/>
      <c r="L342" s="64">
        <f>I342</f>
        <v>2913750</v>
      </c>
      <c r="M342" s="66"/>
      <c r="N342" s="69" t="s">
        <v>1106</v>
      </c>
      <c r="O342" s="46" t="s">
        <v>116</v>
      </c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</row>
    <row r="343" ht="15.75" customHeight="1">
      <c r="A343" s="89"/>
      <c r="B343" s="114"/>
      <c r="C343" s="93" t="s">
        <v>1107</v>
      </c>
      <c r="D343" s="114"/>
      <c r="E343" s="114"/>
      <c r="F343" s="114"/>
      <c r="G343" s="118"/>
      <c r="H343" s="89"/>
      <c r="I343" s="64">
        <f>L343</f>
        <v>5859986</v>
      </c>
      <c r="J343" s="64"/>
      <c r="K343" s="64"/>
      <c r="L343" s="79">
        <v>5859986.0</v>
      </c>
      <c r="M343" s="66"/>
      <c r="N343" s="69" t="s">
        <v>1108</v>
      </c>
      <c r="O343" s="46" t="s">
        <v>116</v>
      </c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</row>
    <row r="344" ht="15.75" customHeight="1">
      <c r="A344" s="89"/>
      <c r="B344" s="114"/>
      <c r="C344" s="93" t="s">
        <v>1109</v>
      </c>
      <c r="D344" s="114"/>
      <c r="E344" s="114"/>
      <c r="F344" s="114"/>
      <c r="G344" s="118"/>
      <c r="H344" s="89"/>
      <c r="I344" s="79">
        <v>3000000.0</v>
      </c>
      <c r="J344" s="64"/>
      <c r="K344" s="64"/>
      <c r="L344" s="79">
        <v>3000000.0</v>
      </c>
      <c r="M344" s="66"/>
      <c r="N344" s="69" t="s">
        <v>1110</v>
      </c>
      <c r="O344" s="46" t="s">
        <v>116</v>
      </c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</row>
    <row r="345" ht="15.75" customHeight="1">
      <c r="A345" s="89"/>
      <c r="B345" s="114"/>
      <c r="C345" s="93" t="s">
        <v>1111</v>
      </c>
      <c r="D345" s="114"/>
      <c r="E345" s="114"/>
      <c r="F345" s="114"/>
      <c r="G345" s="118"/>
      <c r="H345" s="89"/>
      <c r="I345" s="79">
        <v>3234000.0</v>
      </c>
      <c r="J345" s="64"/>
      <c r="K345" s="64"/>
      <c r="L345" s="79">
        <v>3234000.0</v>
      </c>
      <c r="M345" s="66"/>
      <c r="N345" s="69" t="s">
        <v>1112</v>
      </c>
      <c r="O345" s="46" t="s">
        <v>116</v>
      </c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</row>
    <row r="346" ht="15.75" customHeight="1">
      <c r="A346" s="89"/>
      <c r="B346" s="114"/>
      <c r="C346" s="93" t="s">
        <v>1113</v>
      </c>
      <c r="D346" s="114"/>
      <c r="E346" s="114"/>
      <c r="F346" s="114"/>
      <c r="G346" s="118"/>
      <c r="H346" s="89"/>
      <c r="I346" s="79">
        <v>140000.0</v>
      </c>
      <c r="J346" s="64"/>
      <c r="K346" s="64"/>
      <c r="L346" s="79">
        <v>140000.0</v>
      </c>
      <c r="M346" s="66"/>
      <c r="N346" s="69" t="s">
        <v>1114</v>
      </c>
      <c r="O346" s="46" t="s">
        <v>116</v>
      </c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</row>
    <row r="347" ht="15.75" customHeight="1">
      <c r="A347" s="89"/>
      <c r="B347" s="114"/>
      <c r="C347" s="93" t="s">
        <v>1079</v>
      </c>
      <c r="D347" s="114"/>
      <c r="E347" s="114"/>
      <c r="F347" s="114"/>
      <c r="G347" s="118"/>
      <c r="H347" s="89"/>
      <c r="I347" s="79">
        <v>350000.0</v>
      </c>
      <c r="J347" s="64"/>
      <c r="K347" s="64"/>
      <c r="L347" s="79">
        <v>350000.0</v>
      </c>
      <c r="M347" s="66"/>
      <c r="N347" s="69" t="s">
        <v>1115</v>
      </c>
      <c r="O347" s="46" t="s">
        <v>116</v>
      </c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</row>
    <row r="348" ht="15.75" customHeight="1">
      <c r="A348" s="89"/>
      <c r="B348" s="114"/>
      <c r="C348" s="93" t="s">
        <v>1116</v>
      </c>
      <c r="D348" s="114"/>
      <c r="E348" s="114"/>
      <c r="F348" s="114"/>
      <c r="G348" s="118"/>
      <c r="H348" s="89"/>
      <c r="I348" s="79">
        <v>295500.0</v>
      </c>
      <c r="J348" s="64"/>
      <c r="K348" s="64"/>
      <c r="L348" s="79">
        <v>295500.0</v>
      </c>
      <c r="M348" s="66"/>
      <c r="N348" s="69" t="s">
        <v>1117</v>
      </c>
      <c r="O348" s="46" t="s">
        <v>116</v>
      </c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</row>
    <row r="349" ht="15.75" customHeight="1">
      <c r="A349" s="89"/>
      <c r="B349" s="114"/>
      <c r="C349" s="93" t="s">
        <v>1118</v>
      </c>
      <c r="D349" s="114"/>
      <c r="E349" s="114"/>
      <c r="F349" s="114"/>
      <c r="G349" s="118"/>
      <c r="H349" s="89"/>
      <c r="I349" s="79">
        <v>2712000.0</v>
      </c>
      <c r="J349" s="64"/>
      <c r="K349" s="64"/>
      <c r="L349" s="79">
        <v>2712000.0</v>
      </c>
      <c r="M349" s="66"/>
      <c r="N349" s="69" t="s">
        <v>1119</v>
      </c>
      <c r="O349" s="46" t="s">
        <v>116</v>
      </c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</row>
    <row r="350" ht="15.75" customHeight="1">
      <c r="A350" s="89"/>
      <c r="B350" s="114"/>
      <c r="C350" s="93" t="s">
        <v>1120</v>
      </c>
      <c r="D350" s="114"/>
      <c r="E350" s="114"/>
      <c r="F350" s="114"/>
      <c r="G350" s="118"/>
      <c r="H350" s="89"/>
      <c r="I350" s="79">
        <v>8085350.0</v>
      </c>
      <c r="J350" s="64"/>
      <c r="K350" s="64"/>
      <c r="L350" s="79">
        <v>8085350.0</v>
      </c>
      <c r="M350" s="66"/>
      <c r="N350" s="69" t="s">
        <v>1121</v>
      </c>
      <c r="O350" s="46" t="s">
        <v>116</v>
      </c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</row>
    <row r="351" ht="15.75" customHeight="1">
      <c r="A351" s="89"/>
      <c r="B351" s="114"/>
      <c r="C351" s="93" t="s">
        <v>1122</v>
      </c>
      <c r="D351" s="114"/>
      <c r="E351" s="115" t="s">
        <v>1123</v>
      </c>
      <c r="F351" s="115" t="s">
        <v>1124</v>
      </c>
      <c r="G351" s="92" t="s">
        <v>1125</v>
      </c>
      <c r="H351" s="89"/>
      <c r="I351" s="79">
        <v>1.1327127E7</v>
      </c>
      <c r="J351" s="64"/>
      <c r="K351" s="64"/>
      <c r="L351" s="64">
        <f t="shared" ref="L351:L352" si="35">I351</f>
        <v>11327127</v>
      </c>
      <c r="M351" s="66"/>
      <c r="N351" s="46" t="s">
        <v>320</v>
      </c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</row>
    <row r="352" ht="15.75" customHeight="1">
      <c r="A352" s="89"/>
      <c r="B352" s="114"/>
      <c r="C352" s="93" t="s">
        <v>1126</v>
      </c>
      <c r="D352" s="114"/>
      <c r="E352" s="114"/>
      <c r="F352" s="114"/>
      <c r="G352" s="118"/>
      <c r="H352" s="89"/>
      <c r="I352" s="79">
        <v>3.991E7</v>
      </c>
      <c r="J352" s="64"/>
      <c r="K352" s="64"/>
      <c r="L352" s="64">
        <f t="shared" si="35"/>
        <v>39910000</v>
      </c>
      <c r="M352" s="66"/>
      <c r="N352" s="69" t="s">
        <v>1127</v>
      </c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</row>
    <row r="353" ht="15.75" customHeight="1">
      <c r="A353" s="89"/>
      <c r="B353" s="114"/>
      <c r="C353" s="147"/>
      <c r="D353" s="114"/>
      <c r="E353" s="114"/>
      <c r="F353" s="114"/>
      <c r="G353" s="118"/>
      <c r="H353" s="89"/>
      <c r="I353" s="64"/>
      <c r="J353" s="64"/>
      <c r="K353" s="64"/>
      <c r="L353" s="64"/>
      <c r="M353" s="66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</row>
    <row r="354" ht="15.75" customHeight="1">
      <c r="A354" s="89"/>
      <c r="B354" s="114"/>
      <c r="C354" s="147"/>
      <c r="D354" s="114"/>
      <c r="E354" s="114"/>
      <c r="F354" s="114"/>
      <c r="G354" s="118"/>
      <c r="H354" s="89"/>
      <c r="I354" s="64"/>
      <c r="J354" s="64"/>
      <c r="K354" s="64"/>
      <c r="L354" s="64"/>
      <c r="M354" s="66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</row>
    <row r="355" ht="15.75" customHeight="1">
      <c r="A355" s="89"/>
      <c r="B355" s="114"/>
      <c r="C355" s="147"/>
      <c r="D355" s="114"/>
      <c r="E355" s="114"/>
      <c r="F355" s="114"/>
      <c r="G355" s="118"/>
      <c r="H355" s="89"/>
      <c r="I355" s="64"/>
      <c r="J355" s="64"/>
      <c r="K355" s="64"/>
      <c r="L355" s="64"/>
      <c r="M355" s="66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</row>
    <row r="356" ht="15.75" customHeight="1">
      <c r="A356" s="89"/>
      <c r="B356" s="114"/>
      <c r="C356" s="147"/>
      <c r="D356" s="114"/>
      <c r="E356" s="114"/>
      <c r="F356" s="114"/>
      <c r="G356" s="118"/>
      <c r="H356" s="89"/>
      <c r="I356" s="64"/>
      <c r="J356" s="64"/>
      <c r="K356" s="64"/>
      <c r="L356" s="64"/>
      <c r="M356" s="66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</row>
    <row r="357" ht="15.75" customHeight="1">
      <c r="A357" s="89"/>
      <c r="B357" s="114"/>
      <c r="C357" s="147"/>
      <c r="D357" s="114"/>
      <c r="E357" s="114"/>
      <c r="F357" s="114"/>
      <c r="G357" s="118"/>
      <c r="H357" s="89"/>
      <c r="I357" s="64"/>
      <c r="J357" s="64"/>
      <c r="K357" s="64"/>
      <c r="L357" s="64"/>
      <c r="M357" s="66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</row>
    <row r="358" ht="15.75" customHeight="1">
      <c r="A358" s="89"/>
      <c r="B358" s="114"/>
      <c r="C358" s="147"/>
      <c r="D358" s="114"/>
      <c r="E358" s="114"/>
      <c r="F358" s="114"/>
      <c r="G358" s="118"/>
      <c r="H358" s="89"/>
      <c r="I358" s="64"/>
      <c r="J358" s="64"/>
      <c r="K358" s="64"/>
      <c r="L358" s="64"/>
      <c r="M358" s="66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</row>
    <row r="359" ht="15.75" customHeight="1">
      <c r="A359" s="89"/>
      <c r="B359" s="114"/>
      <c r="C359" s="147"/>
      <c r="D359" s="114"/>
      <c r="E359" s="114"/>
      <c r="F359" s="114"/>
      <c r="G359" s="118"/>
      <c r="H359" s="89"/>
      <c r="I359" s="64"/>
      <c r="J359" s="64"/>
      <c r="K359" s="64"/>
      <c r="L359" s="64"/>
      <c r="M359" s="66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</row>
    <row r="360" ht="15.75" customHeight="1">
      <c r="A360" s="89"/>
      <c r="B360" s="114"/>
      <c r="C360" s="147"/>
      <c r="D360" s="114"/>
      <c r="E360" s="114"/>
      <c r="F360" s="114"/>
      <c r="G360" s="118"/>
      <c r="H360" s="89"/>
      <c r="I360" s="64"/>
      <c r="J360" s="64"/>
      <c r="K360" s="64"/>
      <c r="L360" s="64"/>
      <c r="M360" s="66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</row>
    <row r="361" ht="15.75" customHeight="1">
      <c r="A361" s="89"/>
      <c r="B361" s="114"/>
      <c r="C361" s="147"/>
      <c r="D361" s="114"/>
      <c r="E361" s="114"/>
      <c r="F361" s="114"/>
      <c r="G361" s="118"/>
      <c r="H361" s="89"/>
      <c r="I361" s="64"/>
      <c r="J361" s="64"/>
      <c r="K361" s="64"/>
      <c r="L361" s="64"/>
      <c r="M361" s="66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</row>
    <row r="362" ht="15.75" customHeight="1">
      <c r="A362" s="89"/>
      <c r="B362" s="114"/>
      <c r="C362" s="147"/>
      <c r="D362" s="114"/>
      <c r="E362" s="114"/>
      <c r="F362" s="114"/>
      <c r="G362" s="118"/>
      <c r="H362" s="89"/>
      <c r="I362" s="64"/>
      <c r="J362" s="64"/>
      <c r="K362" s="64"/>
      <c r="L362" s="64"/>
      <c r="M362" s="66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</row>
    <row r="363" ht="15.75" customHeight="1">
      <c r="A363" s="89"/>
      <c r="B363" s="114"/>
      <c r="C363" s="147"/>
      <c r="D363" s="114"/>
      <c r="E363" s="114"/>
      <c r="F363" s="114"/>
      <c r="G363" s="118"/>
      <c r="H363" s="89"/>
      <c r="I363" s="64"/>
      <c r="J363" s="64"/>
      <c r="K363" s="64"/>
      <c r="L363" s="64"/>
      <c r="M363" s="66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</row>
    <row r="364" ht="15.75" customHeight="1">
      <c r="A364" s="89"/>
      <c r="B364" s="114"/>
      <c r="C364" s="147"/>
      <c r="D364" s="114"/>
      <c r="E364" s="114"/>
      <c r="F364" s="114"/>
      <c r="G364" s="118"/>
      <c r="H364" s="89"/>
      <c r="I364" s="64"/>
      <c r="J364" s="64"/>
      <c r="K364" s="64"/>
      <c r="L364" s="64"/>
      <c r="M364" s="66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</row>
    <row r="365" ht="15.75" customHeight="1">
      <c r="A365" s="89"/>
      <c r="B365" s="114"/>
      <c r="C365" s="147"/>
      <c r="D365" s="114"/>
      <c r="E365" s="114"/>
      <c r="F365" s="114"/>
      <c r="G365" s="118"/>
      <c r="H365" s="89"/>
      <c r="I365" s="64"/>
      <c r="J365" s="64"/>
      <c r="K365" s="64"/>
      <c r="L365" s="64"/>
      <c r="M365" s="66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</row>
    <row r="366" ht="15.75" customHeight="1">
      <c r="A366" s="89"/>
      <c r="B366" s="114"/>
      <c r="C366" s="147"/>
      <c r="D366" s="114"/>
      <c r="E366" s="114"/>
      <c r="F366" s="114"/>
      <c r="G366" s="118"/>
      <c r="H366" s="89"/>
      <c r="I366" s="64"/>
      <c r="J366" s="64"/>
      <c r="K366" s="64"/>
      <c r="L366" s="64"/>
      <c r="M366" s="66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</row>
    <row r="367" ht="15.75" customHeight="1">
      <c r="A367" s="89"/>
      <c r="B367" s="114"/>
      <c r="C367" s="147"/>
      <c r="D367" s="114"/>
      <c r="E367" s="114"/>
      <c r="F367" s="114"/>
      <c r="G367" s="118"/>
      <c r="H367" s="89"/>
      <c r="I367" s="64"/>
      <c r="J367" s="64"/>
      <c r="K367" s="64"/>
      <c r="L367" s="64"/>
      <c r="M367" s="66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</row>
    <row r="368" ht="15.75" customHeight="1">
      <c r="A368" s="89"/>
      <c r="B368" s="114"/>
      <c r="C368" s="147"/>
      <c r="D368" s="114"/>
      <c r="E368" s="114"/>
      <c r="F368" s="114"/>
      <c r="G368" s="118"/>
      <c r="H368" s="89"/>
      <c r="I368" s="64"/>
      <c r="J368" s="64"/>
      <c r="K368" s="64"/>
      <c r="L368" s="64"/>
      <c r="M368" s="66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</row>
    <row r="369" ht="15.75" customHeight="1">
      <c r="A369" s="89"/>
      <c r="B369" s="114"/>
      <c r="C369" s="147"/>
      <c r="D369" s="114"/>
      <c r="E369" s="114"/>
      <c r="F369" s="114"/>
      <c r="G369" s="118"/>
      <c r="H369" s="89"/>
      <c r="I369" s="64"/>
      <c r="J369" s="64"/>
      <c r="K369" s="64"/>
      <c r="L369" s="64"/>
      <c r="M369" s="66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</row>
    <row r="370" ht="15.75" customHeight="1">
      <c r="A370" s="89"/>
      <c r="B370" s="114"/>
      <c r="C370" s="147"/>
      <c r="D370" s="114"/>
      <c r="E370" s="114"/>
      <c r="F370" s="114"/>
      <c r="G370" s="118"/>
      <c r="H370" s="89"/>
      <c r="I370" s="64"/>
      <c r="J370" s="64"/>
      <c r="K370" s="64"/>
      <c r="L370" s="64"/>
      <c r="M370" s="66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</row>
    <row r="371" ht="15.75" customHeight="1">
      <c r="A371" s="89"/>
      <c r="B371" s="114"/>
      <c r="C371" s="147"/>
      <c r="D371" s="92"/>
      <c r="E371" s="114"/>
      <c r="F371" s="114"/>
      <c r="G371" s="118"/>
      <c r="H371" s="89"/>
      <c r="I371" s="64"/>
      <c r="J371" s="64"/>
      <c r="K371" s="64"/>
      <c r="L371" s="64"/>
      <c r="M371" s="66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</row>
    <row r="372" ht="15.75" customHeight="1">
      <c r="A372" s="89"/>
      <c r="B372" s="114"/>
      <c r="C372" s="147"/>
      <c r="D372" s="114"/>
      <c r="E372" s="114"/>
      <c r="F372" s="114"/>
      <c r="G372" s="118"/>
      <c r="H372" s="89"/>
      <c r="I372" s="64"/>
      <c r="J372" s="64"/>
      <c r="K372" s="64"/>
      <c r="L372" s="64"/>
      <c r="M372" s="66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</row>
    <row r="373" ht="15.75" customHeight="1">
      <c r="A373" s="89"/>
      <c r="B373" s="114"/>
      <c r="C373" s="147"/>
      <c r="D373" s="114"/>
      <c r="E373" s="114"/>
      <c r="F373" s="114"/>
      <c r="G373" s="118"/>
      <c r="H373" s="89"/>
      <c r="I373" s="64"/>
      <c r="J373" s="64"/>
      <c r="K373" s="64"/>
      <c r="L373" s="64"/>
      <c r="M373" s="66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</row>
    <row r="374" ht="15.75" customHeight="1">
      <c r="A374" s="89"/>
      <c r="B374" s="114"/>
      <c r="C374" s="147"/>
      <c r="D374" s="114"/>
      <c r="E374" s="114"/>
      <c r="F374" s="114"/>
      <c r="G374" s="118"/>
      <c r="H374" s="89"/>
      <c r="I374" s="64"/>
      <c r="J374" s="64"/>
      <c r="K374" s="64"/>
      <c r="L374" s="64"/>
      <c r="M374" s="66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</row>
    <row r="375" ht="15.75" customHeight="1">
      <c r="A375" s="89"/>
      <c r="B375" s="114"/>
      <c r="C375" s="147"/>
      <c r="D375" s="148"/>
      <c r="E375" s="114"/>
      <c r="F375" s="114"/>
      <c r="G375" s="118"/>
      <c r="H375" s="89"/>
      <c r="I375" s="64"/>
      <c r="J375" s="64"/>
      <c r="K375" s="64"/>
      <c r="L375" s="64"/>
      <c r="M375" s="66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</row>
    <row r="376" ht="15.75" customHeight="1">
      <c r="A376" s="149"/>
      <c r="B376" s="150"/>
      <c r="C376" s="151"/>
      <c r="D376" s="152"/>
      <c r="E376" s="150"/>
      <c r="F376" s="150"/>
      <c r="G376" s="153"/>
      <c r="H376" s="149"/>
      <c r="I376" s="154"/>
      <c r="J376" s="154"/>
      <c r="K376" s="154"/>
      <c r="L376" s="154"/>
      <c r="M376" s="155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</row>
    <row r="377" ht="15.75" customHeight="1">
      <c r="A377" s="156"/>
      <c r="B377" s="157"/>
      <c r="C377" s="157"/>
      <c r="D377" s="158"/>
      <c r="E377" s="157"/>
      <c r="F377" s="157"/>
      <c r="G377" s="159"/>
      <c r="H377" s="157"/>
      <c r="I377" s="160">
        <f t="shared" ref="I377:L377" si="36">SUBTOTAL(9,I4:I376)</f>
        <v>1416480871</v>
      </c>
      <c r="J377" s="160">
        <f t="shared" si="36"/>
        <v>55824247.96</v>
      </c>
      <c r="K377" s="160">
        <f t="shared" si="36"/>
        <v>217095.76</v>
      </c>
      <c r="L377" s="160">
        <f t="shared" si="36"/>
        <v>1476737831</v>
      </c>
      <c r="M377" s="161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</row>
    <row r="378" ht="15.75" customHeight="1">
      <c r="A378" s="48"/>
      <c r="B378" s="48"/>
      <c r="C378" s="48"/>
      <c r="D378" s="162"/>
      <c r="E378" s="48"/>
      <c r="F378" s="48"/>
      <c r="G378" s="48"/>
      <c r="H378" s="48"/>
      <c r="I378" s="49"/>
      <c r="J378" s="49"/>
      <c r="K378" s="49"/>
      <c r="L378" s="49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</row>
    <row r="379" ht="15.75" customHeight="1">
      <c r="A379" s="48"/>
      <c r="B379" s="48"/>
      <c r="C379" s="48"/>
      <c r="D379" s="162"/>
      <c r="E379" s="48"/>
      <c r="F379" s="48"/>
      <c r="G379" s="48"/>
      <c r="H379" s="48"/>
      <c r="I379" s="49"/>
      <c r="J379" s="49"/>
      <c r="K379" s="49"/>
      <c r="L379" s="49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</row>
    <row r="380" ht="15.75" customHeight="1">
      <c r="A380" s="48"/>
      <c r="B380" s="48"/>
      <c r="C380" s="48"/>
      <c r="D380" s="162"/>
      <c r="E380" s="48"/>
      <c r="F380" s="48"/>
      <c r="G380" s="48"/>
      <c r="H380" s="48"/>
      <c r="I380" s="49"/>
      <c r="J380" s="49"/>
      <c r="K380" s="49"/>
      <c r="L380" s="49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</row>
    <row r="381" ht="15.75" customHeight="1">
      <c r="A381" s="48"/>
      <c r="B381" s="48"/>
      <c r="C381" s="48"/>
      <c r="D381" s="162"/>
      <c r="E381" s="48"/>
      <c r="F381" s="48"/>
      <c r="G381" s="48"/>
      <c r="H381" s="48"/>
      <c r="I381" s="49"/>
      <c r="J381" s="49"/>
      <c r="K381" s="49"/>
      <c r="L381" s="49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</row>
    <row r="382" ht="15.75" customHeight="1">
      <c r="A382" s="48"/>
      <c r="B382" s="48"/>
      <c r="C382" s="48"/>
      <c r="D382" s="162"/>
      <c r="E382" s="48"/>
      <c r="F382" s="48"/>
      <c r="G382" s="48"/>
      <c r="H382" s="48"/>
      <c r="I382" s="49"/>
      <c r="J382" s="49"/>
      <c r="K382" s="49"/>
      <c r="L382" s="49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</row>
    <row r="383" ht="15.75" customHeight="1">
      <c r="A383" s="48"/>
      <c r="B383" s="48"/>
      <c r="C383" s="48"/>
      <c r="D383" s="162"/>
      <c r="E383" s="48"/>
      <c r="F383" s="48"/>
      <c r="G383" s="48"/>
      <c r="H383" s="48"/>
      <c r="I383" s="49"/>
      <c r="J383" s="49"/>
      <c r="K383" s="49"/>
      <c r="L383" s="49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</row>
    <row r="384" ht="15.75" customHeight="1">
      <c r="A384" s="48"/>
      <c r="B384" s="48"/>
      <c r="C384" s="48"/>
      <c r="D384" s="162"/>
      <c r="E384" s="48"/>
      <c r="F384" s="48"/>
      <c r="G384" s="48"/>
      <c r="H384" s="48"/>
      <c r="I384" s="49"/>
      <c r="J384" s="49"/>
      <c r="K384" s="49"/>
      <c r="L384" s="49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</row>
    <row r="385" ht="15.75" customHeight="1">
      <c r="A385" s="48"/>
      <c r="B385" s="48"/>
      <c r="C385" s="48"/>
      <c r="D385" s="162"/>
      <c r="E385" s="48"/>
      <c r="F385" s="48"/>
      <c r="G385" s="48"/>
      <c r="H385" s="48"/>
      <c r="I385" s="49"/>
      <c r="J385" s="49"/>
      <c r="K385" s="49"/>
      <c r="L385" s="49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</row>
    <row r="386" ht="15.75" customHeight="1">
      <c r="A386" s="48"/>
      <c r="B386" s="48"/>
      <c r="C386" s="48"/>
      <c r="D386" s="162"/>
      <c r="E386" s="48"/>
      <c r="F386" s="48"/>
      <c r="G386" s="48"/>
      <c r="H386" s="48"/>
      <c r="I386" s="49"/>
      <c r="J386" s="49"/>
      <c r="K386" s="49"/>
      <c r="L386" s="49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</row>
    <row r="387" ht="15.75" customHeight="1">
      <c r="A387" s="48"/>
      <c r="B387" s="48"/>
      <c r="C387" s="48"/>
      <c r="D387" s="162"/>
      <c r="E387" s="48"/>
      <c r="F387" s="48"/>
      <c r="G387" s="48"/>
      <c r="H387" s="48"/>
      <c r="I387" s="49"/>
      <c r="J387" s="49"/>
      <c r="K387" s="49"/>
      <c r="L387" s="49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</row>
    <row r="388" ht="15.75" customHeight="1">
      <c r="A388" s="48"/>
      <c r="B388" s="48"/>
      <c r="C388" s="48"/>
      <c r="D388" s="162"/>
      <c r="E388" s="48"/>
      <c r="F388" s="48"/>
      <c r="G388" s="48"/>
      <c r="H388" s="48"/>
      <c r="I388" s="49"/>
      <c r="J388" s="49"/>
      <c r="K388" s="49"/>
      <c r="L388" s="49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</row>
    <row r="389" ht="15.75" customHeight="1">
      <c r="A389" s="48"/>
      <c r="B389" s="48"/>
      <c r="C389" s="48"/>
      <c r="D389" s="162"/>
      <c r="E389" s="48"/>
      <c r="F389" s="48"/>
      <c r="G389" s="48"/>
      <c r="H389" s="48"/>
      <c r="I389" s="49"/>
      <c r="J389" s="49"/>
      <c r="K389" s="49"/>
      <c r="L389" s="49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</row>
    <row r="390" ht="15.75" customHeight="1">
      <c r="A390" s="48"/>
      <c r="B390" s="48"/>
      <c r="C390" s="48"/>
      <c r="D390" s="162"/>
      <c r="E390" s="48"/>
      <c r="F390" s="48"/>
      <c r="G390" s="48"/>
      <c r="H390" s="48"/>
      <c r="I390" s="49"/>
      <c r="J390" s="49"/>
      <c r="K390" s="49"/>
      <c r="L390" s="49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</row>
    <row r="391" ht="15.75" customHeight="1">
      <c r="A391" s="48"/>
      <c r="B391" s="48"/>
      <c r="C391" s="48"/>
      <c r="D391" s="162"/>
      <c r="E391" s="48"/>
      <c r="F391" s="48"/>
      <c r="G391" s="48"/>
      <c r="H391" s="48"/>
      <c r="I391" s="49"/>
      <c r="J391" s="49"/>
      <c r="K391" s="49"/>
      <c r="L391" s="49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</row>
    <row r="392" ht="15.75" customHeight="1">
      <c r="A392" s="48"/>
      <c r="B392" s="48"/>
      <c r="C392" s="48"/>
      <c r="D392" s="162"/>
      <c r="E392" s="48"/>
      <c r="F392" s="48"/>
      <c r="G392" s="48"/>
      <c r="H392" s="48"/>
      <c r="I392" s="49"/>
      <c r="J392" s="49"/>
      <c r="K392" s="49"/>
      <c r="L392" s="49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</row>
    <row r="393" ht="15.75" customHeight="1">
      <c r="A393" s="48"/>
      <c r="B393" s="48"/>
      <c r="C393" s="48"/>
      <c r="D393" s="162"/>
      <c r="E393" s="48"/>
      <c r="F393" s="48"/>
      <c r="G393" s="48"/>
      <c r="H393" s="48"/>
      <c r="I393" s="49"/>
      <c r="J393" s="49"/>
      <c r="K393" s="49"/>
      <c r="L393" s="49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</row>
    <row r="394" ht="15.75" customHeight="1">
      <c r="A394" s="48"/>
      <c r="B394" s="48"/>
      <c r="C394" s="48"/>
      <c r="D394" s="162"/>
      <c r="E394" s="48"/>
      <c r="F394" s="48"/>
      <c r="G394" s="48"/>
      <c r="H394" s="48"/>
      <c r="I394" s="49"/>
      <c r="J394" s="49"/>
      <c r="K394" s="49"/>
      <c r="L394" s="49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</row>
    <row r="395" ht="15.75" customHeight="1">
      <c r="A395" s="48"/>
      <c r="B395" s="48"/>
      <c r="C395" s="48"/>
      <c r="D395" s="162"/>
      <c r="E395" s="48"/>
      <c r="F395" s="48"/>
      <c r="G395" s="48"/>
      <c r="H395" s="48"/>
      <c r="I395" s="49"/>
      <c r="J395" s="49"/>
      <c r="K395" s="49"/>
      <c r="L395" s="49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</row>
    <row r="396" ht="15.75" customHeight="1">
      <c r="A396" s="48"/>
      <c r="B396" s="48"/>
      <c r="C396" s="48"/>
      <c r="D396" s="162"/>
      <c r="E396" s="48"/>
      <c r="F396" s="48"/>
      <c r="G396" s="48"/>
      <c r="H396" s="48"/>
      <c r="I396" s="49"/>
      <c r="J396" s="49"/>
      <c r="K396" s="49"/>
      <c r="L396" s="49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</row>
    <row r="397" ht="15.75" customHeight="1">
      <c r="A397" s="48"/>
      <c r="B397" s="48"/>
      <c r="C397" s="48"/>
      <c r="D397" s="162"/>
      <c r="E397" s="48"/>
      <c r="F397" s="48"/>
      <c r="G397" s="48"/>
      <c r="H397" s="48"/>
      <c r="I397" s="49"/>
      <c r="J397" s="49"/>
      <c r="K397" s="49"/>
      <c r="L397" s="49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</row>
    <row r="398" ht="15.75" customHeight="1">
      <c r="A398" s="48"/>
      <c r="B398" s="48"/>
      <c r="C398" s="48"/>
      <c r="D398" s="162"/>
      <c r="E398" s="48"/>
      <c r="F398" s="48"/>
      <c r="G398" s="48"/>
      <c r="H398" s="48"/>
      <c r="I398" s="49"/>
      <c r="J398" s="49"/>
      <c r="K398" s="49"/>
      <c r="L398" s="49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</row>
    <row r="399" ht="15.75" customHeight="1">
      <c r="A399" s="48"/>
      <c r="B399" s="48"/>
      <c r="C399" s="48"/>
      <c r="D399" s="162"/>
      <c r="E399" s="48"/>
      <c r="F399" s="48"/>
      <c r="G399" s="48"/>
      <c r="H399" s="48"/>
      <c r="I399" s="49"/>
      <c r="J399" s="49"/>
      <c r="K399" s="49"/>
      <c r="L399" s="49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</row>
    <row r="400" ht="15.75" customHeight="1">
      <c r="A400" s="48"/>
      <c r="B400" s="48"/>
      <c r="C400" s="48"/>
      <c r="D400" s="162"/>
      <c r="E400" s="48"/>
      <c r="F400" s="48"/>
      <c r="G400" s="48"/>
      <c r="H400" s="48"/>
      <c r="I400" s="49"/>
      <c r="J400" s="49"/>
      <c r="K400" s="49"/>
      <c r="L400" s="49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</row>
    <row r="401" ht="15.75" customHeight="1">
      <c r="A401" s="48"/>
      <c r="B401" s="48"/>
      <c r="C401" s="48"/>
      <c r="D401" s="162"/>
      <c r="E401" s="48"/>
      <c r="F401" s="48"/>
      <c r="G401" s="48"/>
      <c r="H401" s="48"/>
      <c r="I401" s="49"/>
      <c r="J401" s="49"/>
      <c r="K401" s="49"/>
      <c r="L401" s="49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</row>
    <row r="402" ht="15.75" customHeight="1">
      <c r="A402" s="48"/>
      <c r="B402" s="48"/>
      <c r="C402" s="48"/>
      <c r="D402" s="162"/>
      <c r="E402" s="48"/>
      <c r="F402" s="48"/>
      <c r="G402" s="48"/>
      <c r="H402" s="48"/>
      <c r="I402" s="49"/>
      <c r="J402" s="49"/>
      <c r="K402" s="49"/>
      <c r="L402" s="49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</row>
    <row r="403" ht="15.75" customHeight="1">
      <c r="A403" s="48"/>
      <c r="B403" s="48"/>
      <c r="C403" s="48"/>
      <c r="D403" s="162"/>
      <c r="E403" s="48"/>
      <c r="F403" s="48"/>
      <c r="G403" s="48"/>
      <c r="H403" s="48"/>
      <c r="I403" s="49"/>
      <c r="J403" s="49"/>
      <c r="K403" s="49"/>
      <c r="L403" s="49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</row>
    <row r="404" ht="15.75" customHeight="1">
      <c r="A404" s="48"/>
      <c r="B404" s="48"/>
      <c r="C404" s="48"/>
      <c r="D404" s="162"/>
      <c r="E404" s="48"/>
      <c r="F404" s="48"/>
      <c r="G404" s="48"/>
      <c r="H404" s="48"/>
      <c r="I404" s="49"/>
      <c r="J404" s="49"/>
      <c r="K404" s="49"/>
      <c r="L404" s="49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</row>
    <row r="405" ht="15.75" customHeight="1">
      <c r="A405" s="48"/>
      <c r="B405" s="48"/>
      <c r="C405" s="48"/>
      <c r="D405" s="162"/>
      <c r="E405" s="48"/>
      <c r="F405" s="48"/>
      <c r="G405" s="48"/>
      <c r="H405" s="48"/>
      <c r="I405" s="49"/>
      <c r="J405" s="49"/>
      <c r="K405" s="49"/>
      <c r="L405" s="49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</row>
    <row r="406" ht="15.75" customHeight="1">
      <c r="A406" s="48"/>
      <c r="B406" s="48"/>
      <c r="C406" s="48"/>
      <c r="D406" s="162"/>
      <c r="E406" s="48"/>
      <c r="F406" s="48"/>
      <c r="G406" s="48"/>
      <c r="H406" s="48"/>
      <c r="I406" s="49"/>
      <c r="J406" s="49"/>
      <c r="K406" s="49"/>
      <c r="L406" s="49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</row>
    <row r="407" ht="15.75" customHeight="1">
      <c r="A407" s="48"/>
      <c r="B407" s="48"/>
      <c r="C407" s="48"/>
      <c r="D407" s="162"/>
      <c r="E407" s="48"/>
      <c r="F407" s="48"/>
      <c r="G407" s="48"/>
      <c r="H407" s="48"/>
      <c r="I407" s="49"/>
      <c r="J407" s="49"/>
      <c r="K407" s="49"/>
      <c r="L407" s="49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</row>
    <row r="408" ht="15.75" customHeight="1">
      <c r="A408" s="48"/>
      <c r="B408" s="48"/>
      <c r="C408" s="48"/>
      <c r="D408" s="162"/>
      <c r="E408" s="48"/>
      <c r="F408" s="48"/>
      <c r="G408" s="48"/>
      <c r="H408" s="48"/>
      <c r="I408" s="49"/>
      <c r="J408" s="49"/>
      <c r="K408" s="49"/>
      <c r="L408" s="49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</row>
    <row r="409" ht="15.75" customHeight="1">
      <c r="A409" s="48"/>
      <c r="B409" s="48"/>
      <c r="C409" s="48"/>
      <c r="D409" s="162"/>
      <c r="E409" s="48"/>
      <c r="F409" s="48"/>
      <c r="G409" s="48"/>
      <c r="H409" s="48"/>
      <c r="I409" s="49"/>
      <c r="J409" s="49"/>
      <c r="K409" s="49"/>
      <c r="L409" s="49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</row>
    <row r="410" ht="15.75" customHeight="1">
      <c r="A410" s="48"/>
      <c r="B410" s="48"/>
      <c r="C410" s="48"/>
      <c r="D410" s="162"/>
      <c r="E410" s="48"/>
      <c r="F410" s="48"/>
      <c r="G410" s="48"/>
      <c r="H410" s="48"/>
      <c r="I410" s="49"/>
      <c r="J410" s="49"/>
      <c r="K410" s="49"/>
      <c r="L410" s="49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</row>
    <row r="411" ht="15.75" customHeight="1">
      <c r="A411" s="48"/>
      <c r="B411" s="48"/>
      <c r="C411" s="48"/>
      <c r="D411" s="162"/>
      <c r="E411" s="48"/>
      <c r="F411" s="48"/>
      <c r="G411" s="48"/>
      <c r="H411" s="48"/>
      <c r="I411" s="49"/>
      <c r="J411" s="49"/>
      <c r="K411" s="49"/>
      <c r="L411" s="49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</row>
    <row r="412" ht="15.75" customHeight="1">
      <c r="A412" s="48"/>
      <c r="B412" s="48"/>
      <c r="C412" s="48"/>
      <c r="D412" s="162"/>
      <c r="E412" s="48"/>
      <c r="F412" s="48"/>
      <c r="G412" s="48"/>
      <c r="H412" s="48"/>
      <c r="I412" s="49"/>
      <c r="J412" s="49"/>
      <c r="K412" s="49"/>
      <c r="L412" s="49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</row>
    <row r="413" ht="15.75" customHeight="1">
      <c r="A413" s="48"/>
      <c r="B413" s="48"/>
      <c r="C413" s="48"/>
      <c r="D413" s="162"/>
      <c r="E413" s="48"/>
      <c r="F413" s="48"/>
      <c r="G413" s="48"/>
      <c r="H413" s="48"/>
      <c r="I413" s="49"/>
      <c r="J413" s="49"/>
      <c r="K413" s="49"/>
      <c r="L413" s="49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</row>
    <row r="414" ht="15.75" customHeight="1">
      <c r="A414" s="48"/>
      <c r="B414" s="48"/>
      <c r="C414" s="48"/>
      <c r="D414" s="162"/>
      <c r="E414" s="48"/>
      <c r="F414" s="48"/>
      <c r="G414" s="48"/>
      <c r="H414" s="48"/>
      <c r="I414" s="49"/>
      <c r="J414" s="49"/>
      <c r="K414" s="49"/>
      <c r="L414" s="49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</row>
    <row r="415" ht="15.75" customHeight="1">
      <c r="A415" s="48"/>
      <c r="B415" s="48"/>
      <c r="C415" s="48"/>
      <c r="D415" s="162"/>
      <c r="E415" s="48"/>
      <c r="F415" s="48"/>
      <c r="G415" s="48"/>
      <c r="H415" s="48"/>
      <c r="I415" s="49"/>
      <c r="J415" s="49"/>
      <c r="K415" s="49"/>
      <c r="L415" s="49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</row>
    <row r="416" ht="15.75" customHeight="1">
      <c r="A416" s="48"/>
      <c r="B416" s="48"/>
      <c r="C416" s="48"/>
      <c r="D416" s="162"/>
      <c r="E416" s="48"/>
      <c r="F416" s="48"/>
      <c r="G416" s="48"/>
      <c r="H416" s="48"/>
      <c r="I416" s="49"/>
      <c r="J416" s="49"/>
      <c r="K416" s="49"/>
      <c r="L416" s="49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</row>
    <row r="417" ht="15.75" customHeight="1">
      <c r="A417" s="48"/>
      <c r="B417" s="48"/>
      <c r="C417" s="48"/>
      <c r="D417" s="162"/>
      <c r="E417" s="48"/>
      <c r="F417" s="48"/>
      <c r="G417" s="48"/>
      <c r="H417" s="48"/>
      <c r="I417" s="49"/>
      <c r="J417" s="49"/>
      <c r="K417" s="49"/>
      <c r="L417" s="49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</row>
    <row r="418" ht="15.75" customHeight="1">
      <c r="A418" s="48"/>
      <c r="B418" s="48"/>
      <c r="C418" s="48"/>
      <c r="D418" s="162"/>
      <c r="E418" s="48"/>
      <c r="F418" s="48"/>
      <c r="G418" s="48"/>
      <c r="H418" s="48"/>
      <c r="I418" s="49"/>
      <c r="J418" s="49"/>
      <c r="K418" s="49"/>
      <c r="L418" s="49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</row>
    <row r="419" ht="15.75" customHeight="1">
      <c r="A419" s="48"/>
      <c r="B419" s="48"/>
      <c r="C419" s="48"/>
      <c r="D419" s="162"/>
      <c r="E419" s="48"/>
      <c r="F419" s="48"/>
      <c r="G419" s="48"/>
      <c r="H419" s="48"/>
      <c r="I419" s="49"/>
      <c r="J419" s="49"/>
      <c r="K419" s="49"/>
      <c r="L419" s="49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</row>
    <row r="420" ht="15.75" customHeight="1">
      <c r="A420" s="48"/>
      <c r="B420" s="48"/>
      <c r="C420" s="48"/>
      <c r="D420" s="162"/>
      <c r="E420" s="48"/>
      <c r="F420" s="48"/>
      <c r="G420" s="48"/>
      <c r="H420" s="48"/>
      <c r="I420" s="49"/>
      <c r="J420" s="49"/>
      <c r="K420" s="49"/>
      <c r="L420" s="49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</row>
    <row r="421" ht="15.75" customHeight="1">
      <c r="A421" s="48"/>
      <c r="B421" s="48"/>
      <c r="C421" s="48"/>
      <c r="D421" s="162"/>
      <c r="E421" s="48"/>
      <c r="F421" s="48"/>
      <c r="G421" s="48"/>
      <c r="H421" s="48"/>
      <c r="I421" s="49"/>
      <c r="J421" s="49"/>
      <c r="K421" s="49"/>
      <c r="L421" s="49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</row>
    <row r="422" ht="15.75" customHeight="1">
      <c r="A422" s="48"/>
      <c r="B422" s="48"/>
      <c r="C422" s="48"/>
      <c r="D422" s="162"/>
      <c r="E422" s="48"/>
      <c r="F422" s="48"/>
      <c r="G422" s="48"/>
      <c r="H422" s="48"/>
      <c r="I422" s="49"/>
      <c r="J422" s="49"/>
      <c r="K422" s="49"/>
      <c r="L422" s="49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</row>
    <row r="423" ht="15.75" customHeight="1">
      <c r="A423" s="48"/>
      <c r="B423" s="48"/>
      <c r="C423" s="48"/>
      <c r="D423" s="162"/>
      <c r="E423" s="48"/>
      <c r="F423" s="48"/>
      <c r="G423" s="48"/>
      <c r="H423" s="48"/>
      <c r="I423" s="49"/>
      <c r="J423" s="49"/>
      <c r="K423" s="49"/>
      <c r="L423" s="49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</row>
    <row r="424" ht="15.75" customHeight="1">
      <c r="A424" s="48"/>
      <c r="B424" s="48"/>
      <c r="C424" s="48"/>
      <c r="D424" s="162"/>
      <c r="E424" s="48"/>
      <c r="F424" s="48"/>
      <c r="G424" s="48"/>
      <c r="H424" s="48"/>
      <c r="I424" s="49"/>
      <c r="J424" s="49"/>
      <c r="K424" s="49"/>
      <c r="L424" s="49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</row>
    <row r="425" ht="15.75" customHeight="1">
      <c r="A425" s="48"/>
      <c r="B425" s="48"/>
      <c r="C425" s="48"/>
      <c r="D425" s="162"/>
      <c r="E425" s="48"/>
      <c r="F425" s="48"/>
      <c r="G425" s="48"/>
      <c r="H425" s="48"/>
      <c r="I425" s="49"/>
      <c r="J425" s="49"/>
      <c r="K425" s="49"/>
      <c r="L425" s="49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</row>
    <row r="426" ht="15.75" customHeight="1">
      <c r="A426" s="48"/>
      <c r="B426" s="48"/>
      <c r="C426" s="48"/>
      <c r="D426" s="162"/>
      <c r="E426" s="48"/>
      <c r="F426" s="48"/>
      <c r="G426" s="48"/>
      <c r="H426" s="48"/>
      <c r="I426" s="49"/>
      <c r="J426" s="49"/>
      <c r="K426" s="49"/>
      <c r="L426" s="49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</row>
    <row r="427" ht="15.75" customHeight="1">
      <c r="A427" s="48"/>
      <c r="B427" s="48"/>
      <c r="C427" s="48"/>
      <c r="D427" s="162"/>
      <c r="E427" s="48"/>
      <c r="F427" s="48"/>
      <c r="G427" s="48"/>
      <c r="H427" s="48"/>
      <c r="I427" s="49"/>
      <c r="J427" s="49"/>
      <c r="K427" s="49"/>
      <c r="L427" s="49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</row>
    <row r="428" ht="15.75" customHeight="1">
      <c r="A428" s="48"/>
      <c r="B428" s="48"/>
      <c r="C428" s="48"/>
      <c r="D428" s="162"/>
      <c r="E428" s="48"/>
      <c r="F428" s="48"/>
      <c r="G428" s="48"/>
      <c r="H428" s="48"/>
      <c r="I428" s="49"/>
      <c r="J428" s="49"/>
      <c r="K428" s="49"/>
      <c r="L428" s="49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</row>
    <row r="429" ht="15.75" customHeight="1">
      <c r="A429" s="48"/>
      <c r="B429" s="48"/>
      <c r="C429" s="48"/>
      <c r="D429" s="162"/>
      <c r="E429" s="48"/>
      <c r="F429" s="48"/>
      <c r="G429" s="48"/>
      <c r="H429" s="48"/>
      <c r="I429" s="49"/>
      <c r="J429" s="49"/>
      <c r="K429" s="49"/>
      <c r="L429" s="49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</row>
    <row r="430" ht="15.75" customHeight="1">
      <c r="A430" s="48"/>
      <c r="B430" s="48"/>
      <c r="C430" s="48"/>
      <c r="D430" s="162"/>
      <c r="E430" s="48"/>
      <c r="F430" s="48"/>
      <c r="G430" s="48"/>
      <c r="H430" s="48"/>
      <c r="I430" s="49"/>
      <c r="J430" s="49"/>
      <c r="K430" s="49"/>
      <c r="L430" s="49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</row>
    <row r="431" ht="15.75" customHeight="1">
      <c r="A431" s="48"/>
      <c r="B431" s="48"/>
      <c r="C431" s="48"/>
      <c r="D431" s="162"/>
      <c r="E431" s="48"/>
      <c r="F431" s="48"/>
      <c r="G431" s="48"/>
      <c r="H431" s="48"/>
      <c r="I431" s="49"/>
      <c r="J431" s="49"/>
      <c r="K431" s="49"/>
      <c r="L431" s="49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</row>
    <row r="432" ht="15.75" customHeight="1">
      <c r="A432" s="48"/>
      <c r="B432" s="48"/>
      <c r="C432" s="48"/>
      <c r="D432" s="162"/>
      <c r="E432" s="48"/>
      <c r="F432" s="48"/>
      <c r="G432" s="48"/>
      <c r="H432" s="48"/>
      <c r="I432" s="49"/>
      <c r="J432" s="49"/>
      <c r="K432" s="49"/>
      <c r="L432" s="49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</row>
    <row r="433" ht="15.75" customHeight="1">
      <c r="A433" s="48"/>
      <c r="B433" s="48"/>
      <c r="C433" s="48"/>
      <c r="D433" s="162"/>
      <c r="E433" s="48"/>
      <c r="F433" s="48"/>
      <c r="G433" s="48"/>
      <c r="H433" s="48"/>
      <c r="I433" s="49"/>
      <c r="J433" s="49"/>
      <c r="K433" s="49"/>
      <c r="L433" s="49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</row>
    <row r="434" ht="15.75" customHeight="1">
      <c r="A434" s="48"/>
      <c r="B434" s="48"/>
      <c r="C434" s="48"/>
      <c r="D434" s="162"/>
      <c r="E434" s="48"/>
      <c r="F434" s="48"/>
      <c r="G434" s="48"/>
      <c r="H434" s="48"/>
      <c r="I434" s="49"/>
      <c r="J434" s="49"/>
      <c r="K434" s="49"/>
      <c r="L434" s="49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</row>
    <row r="435" ht="15.75" customHeight="1">
      <c r="A435" s="48"/>
      <c r="B435" s="48"/>
      <c r="C435" s="48"/>
      <c r="D435" s="162"/>
      <c r="E435" s="48"/>
      <c r="F435" s="48"/>
      <c r="G435" s="48"/>
      <c r="H435" s="48"/>
      <c r="I435" s="49"/>
      <c r="J435" s="49"/>
      <c r="K435" s="49"/>
      <c r="L435" s="49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</row>
    <row r="436" ht="15.75" customHeight="1">
      <c r="A436" s="48"/>
      <c r="B436" s="48"/>
      <c r="C436" s="48"/>
      <c r="D436" s="162"/>
      <c r="E436" s="48"/>
      <c r="F436" s="48"/>
      <c r="G436" s="48"/>
      <c r="H436" s="48"/>
      <c r="I436" s="49"/>
      <c r="J436" s="49"/>
      <c r="K436" s="49"/>
      <c r="L436" s="49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</row>
    <row r="437" ht="15.75" customHeight="1">
      <c r="A437" s="48"/>
      <c r="B437" s="48"/>
      <c r="C437" s="48"/>
      <c r="D437" s="162"/>
      <c r="E437" s="48"/>
      <c r="F437" s="48"/>
      <c r="G437" s="48"/>
      <c r="H437" s="48"/>
      <c r="I437" s="49"/>
      <c r="J437" s="49"/>
      <c r="K437" s="49"/>
      <c r="L437" s="49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</row>
    <row r="438" ht="15.75" customHeight="1">
      <c r="A438" s="48"/>
      <c r="B438" s="48"/>
      <c r="C438" s="48"/>
      <c r="D438" s="162"/>
      <c r="E438" s="48"/>
      <c r="F438" s="48"/>
      <c r="G438" s="48"/>
      <c r="H438" s="48"/>
      <c r="I438" s="49"/>
      <c r="J438" s="49"/>
      <c r="K438" s="49"/>
      <c r="L438" s="49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</row>
    <row r="439" ht="15.75" customHeight="1">
      <c r="A439" s="48"/>
      <c r="B439" s="48"/>
      <c r="C439" s="48"/>
      <c r="D439" s="162"/>
      <c r="E439" s="48"/>
      <c r="F439" s="48"/>
      <c r="G439" s="48"/>
      <c r="H439" s="48"/>
      <c r="I439" s="49"/>
      <c r="J439" s="49"/>
      <c r="K439" s="49"/>
      <c r="L439" s="49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</row>
    <row r="440" ht="15.75" customHeight="1">
      <c r="A440" s="48"/>
      <c r="B440" s="48"/>
      <c r="C440" s="48"/>
      <c r="D440" s="162"/>
      <c r="E440" s="48"/>
      <c r="F440" s="48"/>
      <c r="G440" s="48"/>
      <c r="H440" s="48"/>
      <c r="I440" s="49"/>
      <c r="J440" s="49"/>
      <c r="K440" s="49"/>
      <c r="L440" s="49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</row>
    <row r="441" ht="15.75" customHeight="1">
      <c r="A441" s="48"/>
      <c r="B441" s="48"/>
      <c r="C441" s="48"/>
      <c r="D441" s="162"/>
      <c r="E441" s="48"/>
      <c r="F441" s="48"/>
      <c r="G441" s="48"/>
      <c r="H441" s="48"/>
      <c r="I441" s="49"/>
      <c r="J441" s="49"/>
      <c r="K441" s="49"/>
      <c r="L441" s="49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</row>
    <row r="442" ht="15.75" customHeight="1">
      <c r="A442" s="48"/>
      <c r="B442" s="48"/>
      <c r="C442" s="48"/>
      <c r="D442" s="162"/>
      <c r="E442" s="48"/>
      <c r="F442" s="48"/>
      <c r="G442" s="48"/>
      <c r="H442" s="48"/>
      <c r="I442" s="49"/>
      <c r="J442" s="49"/>
      <c r="K442" s="49"/>
      <c r="L442" s="49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</row>
    <row r="443" ht="15.75" customHeight="1">
      <c r="A443" s="48"/>
      <c r="B443" s="48"/>
      <c r="C443" s="48"/>
      <c r="D443" s="162"/>
      <c r="E443" s="48"/>
      <c r="F443" s="48"/>
      <c r="G443" s="48"/>
      <c r="H443" s="48"/>
      <c r="I443" s="49"/>
      <c r="J443" s="49"/>
      <c r="K443" s="49"/>
      <c r="L443" s="49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</row>
    <row r="444" ht="15.75" customHeight="1">
      <c r="A444" s="48"/>
      <c r="B444" s="48"/>
      <c r="C444" s="48"/>
      <c r="D444" s="162"/>
      <c r="E444" s="48"/>
      <c r="F444" s="48"/>
      <c r="G444" s="48"/>
      <c r="H444" s="48"/>
      <c r="I444" s="49"/>
      <c r="J444" s="49"/>
      <c r="K444" s="49"/>
      <c r="L444" s="49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</row>
    <row r="445" ht="15.75" customHeight="1">
      <c r="A445" s="48"/>
      <c r="B445" s="48"/>
      <c r="C445" s="48"/>
      <c r="D445" s="162"/>
      <c r="E445" s="48"/>
      <c r="F445" s="48"/>
      <c r="G445" s="48"/>
      <c r="H445" s="48"/>
      <c r="I445" s="49"/>
      <c r="J445" s="49"/>
      <c r="K445" s="49"/>
      <c r="L445" s="49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</row>
    <row r="446" ht="15.75" customHeight="1">
      <c r="A446" s="48"/>
      <c r="B446" s="48"/>
      <c r="C446" s="48"/>
      <c r="D446" s="162"/>
      <c r="E446" s="48"/>
      <c r="F446" s="48"/>
      <c r="G446" s="48"/>
      <c r="H446" s="48"/>
      <c r="I446" s="49"/>
      <c r="J446" s="49"/>
      <c r="K446" s="49"/>
      <c r="L446" s="49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</row>
    <row r="447" ht="15.75" customHeight="1">
      <c r="A447" s="48"/>
      <c r="B447" s="48"/>
      <c r="C447" s="48"/>
      <c r="D447" s="162"/>
      <c r="E447" s="48"/>
      <c r="F447" s="48"/>
      <c r="G447" s="48"/>
      <c r="H447" s="48"/>
      <c r="I447" s="49"/>
      <c r="J447" s="49"/>
      <c r="K447" s="49"/>
      <c r="L447" s="49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</row>
    <row r="448" ht="15.75" customHeight="1">
      <c r="A448" s="48"/>
      <c r="B448" s="48"/>
      <c r="C448" s="48"/>
      <c r="D448" s="162"/>
      <c r="E448" s="48"/>
      <c r="F448" s="48"/>
      <c r="G448" s="48"/>
      <c r="H448" s="48"/>
      <c r="I448" s="49"/>
      <c r="J448" s="49"/>
      <c r="K448" s="49"/>
      <c r="L448" s="49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9"/>
      <c r="J449" s="49"/>
      <c r="K449" s="49"/>
      <c r="L449" s="49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9"/>
      <c r="J450" s="49"/>
      <c r="K450" s="49"/>
      <c r="L450" s="49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9"/>
      <c r="J451" s="49"/>
      <c r="K451" s="49"/>
      <c r="L451" s="49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9"/>
      <c r="J452" s="49"/>
      <c r="K452" s="49"/>
      <c r="L452" s="49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9"/>
      <c r="J453" s="49"/>
      <c r="K453" s="49"/>
      <c r="L453" s="49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9"/>
      <c r="J454" s="49"/>
      <c r="K454" s="49"/>
      <c r="L454" s="49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9"/>
      <c r="J455" s="49"/>
      <c r="K455" s="49"/>
      <c r="L455" s="49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9"/>
      <c r="J456" s="49"/>
      <c r="K456" s="49"/>
      <c r="L456" s="49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9"/>
      <c r="J457" s="49"/>
      <c r="K457" s="49"/>
      <c r="L457" s="49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9"/>
      <c r="J458" s="49"/>
      <c r="K458" s="49"/>
      <c r="L458" s="49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9"/>
      <c r="J459" s="49"/>
      <c r="K459" s="49"/>
      <c r="L459" s="49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9"/>
      <c r="J460" s="49"/>
      <c r="K460" s="49"/>
      <c r="L460" s="49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9"/>
      <c r="J461" s="49"/>
      <c r="K461" s="49"/>
      <c r="L461" s="49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9"/>
      <c r="J462" s="49"/>
      <c r="K462" s="49"/>
      <c r="L462" s="49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9"/>
      <c r="J463" s="49"/>
      <c r="K463" s="49"/>
      <c r="L463" s="49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9"/>
      <c r="J464" s="49"/>
      <c r="K464" s="49"/>
      <c r="L464" s="49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9"/>
      <c r="J465" s="49"/>
      <c r="K465" s="49"/>
      <c r="L465" s="49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9"/>
      <c r="J466" s="49"/>
      <c r="K466" s="49"/>
      <c r="L466" s="49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9"/>
      <c r="J467" s="49"/>
      <c r="K467" s="49"/>
      <c r="L467" s="49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9"/>
      <c r="J468" s="49"/>
      <c r="K468" s="49"/>
      <c r="L468" s="49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9"/>
      <c r="J469" s="49"/>
      <c r="K469" s="49"/>
      <c r="L469" s="49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9"/>
      <c r="J470" s="49"/>
      <c r="K470" s="49"/>
      <c r="L470" s="49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9"/>
      <c r="J471" s="49"/>
      <c r="K471" s="49"/>
      <c r="L471" s="49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9"/>
      <c r="J472" s="49"/>
      <c r="K472" s="49"/>
      <c r="L472" s="49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9"/>
      <c r="J473" s="49"/>
      <c r="K473" s="49"/>
      <c r="L473" s="49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9"/>
      <c r="J474" s="49"/>
      <c r="K474" s="49"/>
      <c r="L474" s="49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9"/>
      <c r="J475" s="49"/>
      <c r="K475" s="49"/>
      <c r="L475" s="49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9"/>
      <c r="J476" s="49"/>
      <c r="K476" s="49"/>
      <c r="L476" s="49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9"/>
      <c r="J477" s="49"/>
      <c r="K477" s="49"/>
      <c r="L477" s="49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9"/>
      <c r="J478" s="49"/>
      <c r="K478" s="49"/>
      <c r="L478" s="49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9"/>
      <c r="J479" s="49"/>
      <c r="K479" s="49"/>
      <c r="L479" s="49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9"/>
      <c r="J480" s="49"/>
      <c r="K480" s="49"/>
      <c r="L480" s="49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9"/>
      <c r="J481" s="49"/>
      <c r="K481" s="49"/>
      <c r="L481" s="49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9"/>
      <c r="J482" s="49"/>
      <c r="K482" s="49"/>
      <c r="L482" s="49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9"/>
      <c r="J483" s="49"/>
      <c r="K483" s="49"/>
      <c r="L483" s="49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9"/>
      <c r="J484" s="49"/>
      <c r="K484" s="49"/>
      <c r="L484" s="49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9"/>
      <c r="J485" s="49"/>
      <c r="K485" s="49"/>
      <c r="L485" s="49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9"/>
      <c r="J486" s="49"/>
      <c r="K486" s="49"/>
      <c r="L486" s="49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9"/>
      <c r="J487" s="49"/>
      <c r="K487" s="49"/>
      <c r="L487" s="49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9"/>
      <c r="J488" s="49"/>
      <c r="K488" s="49"/>
      <c r="L488" s="49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9"/>
      <c r="J489" s="49"/>
      <c r="K489" s="49"/>
      <c r="L489" s="49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9"/>
      <c r="J490" s="49"/>
      <c r="K490" s="49"/>
      <c r="L490" s="49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9"/>
      <c r="J491" s="49"/>
      <c r="K491" s="49"/>
      <c r="L491" s="49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9"/>
      <c r="J492" s="49"/>
      <c r="K492" s="49"/>
      <c r="L492" s="49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9"/>
      <c r="J493" s="49"/>
      <c r="K493" s="49"/>
      <c r="L493" s="49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9"/>
      <c r="J494" s="49"/>
      <c r="K494" s="49"/>
      <c r="L494" s="49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9"/>
      <c r="J495" s="49"/>
      <c r="K495" s="49"/>
      <c r="L495" s="49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9"/>
      <c r="J496" s="49"/>
      <c r="K496" s="49"/>
      <c r="L496" s="49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9"/>
      <c r="J497" s="49"/>
      <c r="K497" s="49"/>
      <c r="L497" s="49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9"/>
      <c r="J498" s="49"/>
      <c r="K498" s="49"/>
      <c r="L498" s="49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9"/>
      <c r="J499" s="49"/>
      <c r="K499" s="49"/>
      <c r="L499" s="49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9"/>
      <c r="J500" s="49"/>
      <c r="K500" s="49"/>
      <c r="L500" s="49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9"/>
      <c r="J501" s="49"/>
      <c r="K501" s="49"/>
      <c r="L501" s="49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9"/>
      <c r="J502" s="49"/>
      <c r="K502" s="49"/>
      <c r="L502" s="49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9"/>
      <c r="J503" s="49"/>
      <c r="K503" s="49"/>
      <c r="L503" s="49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9"/>
      <c r="J504" s="49"/>
      <c r="K504" s="49"/>
      <c r="L504" s="49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9"/>
      <c r="J505" s="49"/>
      <c r="K505" s="49"/>
      <c r="L505" s="49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9"/>
      <c r="J506" s="49"/>
      <c r="K506" s="49"/>
      <c r="L506" s="49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9"/>
      <c r="J507" s="49"/>
      <c r="K507" s="49"/>
      <c r="L507" s="49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9"/>
      <c r="J508" s="49"/>
      <c r="K508" s="49"/>
      <c r="L508" s="49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9"/>
      <c r="J509" s="49"/>
      <c r="K509" s="49"/>
      <c r="L509" s="49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9"/>
      <c r="J510" s="49"/>
      <c r="K510" s="49"/>
      <c r="L510" s="49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9"/>
      <c r="J511" s="49"/>
      <c r="K511" s="49"/>
      <c r="L511" s="49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9"/>
      <c r="J512" s="49"/>
      <c r="K512" s="49"/>
      <c r="L512" s="49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9"/>
      <c r="J513" s="49"/>
      <c r="K513" s="49"/>
      <c r="L513" s="49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9"/>
      <c r="J514" s="49"/>
      <c r="K514" s="49"/>
      <c r="L514" s="49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9"/>
      <c r="J515" s="49"/>
      <c r="K515" s="49"/>
      <c r="L515" s="49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9"/>
      <c r="J516" s="49"/>
      <c r="K516" s="49"/>
      <c r="L516" s="49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9"/>
      <c r="J517" s="49"/>
      <c r="K517" s="49"/>
      <c r="L517" s="49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9"/>
      <c r="J518" s="49"/>
      <c r="K518" s="49"/>
      <c r="L518" s="49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9"/>
      <c r="J519" s="49"/>
      <c r="K519" s="49"/>
      <c r="L519" s="49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9"/>
      <c r="J520" s="49"/>
      <c r="K520" s="49"/>
      <c r="L520" s="49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9"/>
      <c r="J521" s="49"/>
      <c r="K521" s="49"/>
      <c r="L521" s="49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9"/>
      <c r="J522" s="49"/>
      <c r="K522" s="49"/>
      <c r="L522" s="49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9"/>
      <c r="J523" s="49"/>
      <c r="K523" s="49"/>
      <c r="L523" s="49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9"/>
      <c r="J524" s="49"/>
      <c r="K524" s="49"/>
      <c r="L524" s="49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9"/>
      <c r="J525" s="49"/>
      <c r="K525" s="49"/>
      <c r="L525" s="49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9"/>
      <c r="J526" s="49"/>
      <c r="K526" s="49"/>
      <c r="L526" s="49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9"/>
      <c r="J527" s="49"/>
      <c r="K527" s="49"/>
      <c r="L527" s="49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9"/>
      <c r="J528" s="49"/>
      <c r="K528" s="49"/>
      <c r="L528" s="49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9"/>
      <c r="J529" s="49"/>
      <c r="K529" s="49"/>
      <c r="L529" s="49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9"/>
      <c r="J530" s="49"/>
      <c r="K530" s="49"/>
      <c r="L530" s="49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9"/>
      <c r="J531" s="49"/>
      <c r="K531" s="49"/>
      <c r="L531" s="49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9"/>
      <c r="J532" s="49"/>
      <c r="K532" s="49"/>
      <c r="L532" s="49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9"/>
      <c r="J533" s="49"/>
      <c r="K533" s="49"/>
      <c r="L533" s="49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9"/>
      <c r="J534" s="49"/>
      <c r="K534" s="49"/>
      <c r="L534" s="49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9"/>
      <c r="J535" s="49"/>
      <c r="K535" s="49"/>
      <c r="L535" s="49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9"/>
      <c r="J536" s="49"/>
      <c r="K536" s="49"/>
      <c r="L536" s="49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9"/>
      <c r="J537" s="49"/>
      <c r="K537" s="49"/>
      <c r="L537" s="49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9"/>
      <c r="J538" s="49"/>
      <c r="K538" s="49"/>
      <c r="L538" s="49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9"/>
      <c r="J539" s="49"/>
      <c r="K539" s="49"/>
      <c r="L539" s="49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9"/>
      <c r="J540" s="49"/>
      <c r="K540" s="49"/>
      <c r="L540" s="49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9"/>
      <c r="J541" s="49"/>
      <c r="K541" s="49"/>
      <c r="L541" s="49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9"/>
      <c r="J542" s="49"/>
      <c r="K542" s="49"/>
      <c r="L542" s="49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9"/>
      <c r="J543" s="49"/>
      <c r="K543" s="49"/>
      <c r="L543" s="49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9"/>
      <c r="J544" s="49"/>
      <c r="K544" s="49"/>
      <c r="L544" s="49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9"/>
      <c r="J545" s="49"/>
      <c r="K545" s="49"/>
      <c r="L545" s="49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9"/>
      <c r="J546" s="49"/>
      <c r="K546" s="49"/>
      <c r="L546" s="49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9"/>
      <c r="J547" s="49"/>
      <c r="K547" s="49"/>
      <c r="L547" s="49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9"/>
      <c r="J548" s="49"/>
      <c r="K548" s="49"/>
      <c r="L548" s="49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9"/>
      <c r="J549" s="49"/>
      <c r="K549" s="49"/>
      <c r="L549" s="49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9"/>
      <c r="J550" s="49"/>
      <c r="K550" s="49"/>
      <c r="L550" s="49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9"/>
      <c r="J551" s="49"/>
      <c r="K551" s="49"/>
      <c r="L551" s="49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9"/>
      <c r="J552" s="49"/>
      <c r="K552" s="49"/>
      <c r="L552" s="49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9"/>
      <c r="J553" s="49"/>
      <c r="K553" s="49"/>
      <c r="L553" s="49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9"/>
      <c r="J554" s="49"/>
      <c r="K554" s="49"/>
      <c r="L554" s="49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9"/>
      <c r="J555" s="49"/>
      <c r="K555" s="49"/>
      <c r="L555" s="49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9"/>
      <c r="J556" s="49"/>
      <c r="K556" s="49"/>
      <c r="L556" s="49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9"/>
      <c r="J557" s="49"/>
      <c r="K557" s="49"/>
      <c r="L557" s="49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9"/>
      <c r="J558" s="49"/>
      <c r="K558" s="49"/>
      <c r="L558" s="49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9"/>
      <c r="J559" s="49"/>
      <c r="K559" s="49"/>
      <c r="L559" s="49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9"/>
      <c r="J560" s="49"/>
      <c r="K560" s="49"/>
      <c r="L560" s="49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9"/>
      <c r="J561" s="49"/>
      <c r="K561" s="49"/>
      <c r="L561" s="49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9"/>
      <c r="J562" s="49"/>
      <c r="K562" s="49"/>
      <c r="L562" s="49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9"/>
      <c r="J563" s="49"/>
      <c r="K563" s="49"/>
      <c r="L563" s="49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9"/>
      <c r="J564" s="49"/>
      <c r="K564" s="49"/>
      <c r="L564" s="49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9"/>
      <c r="J565" s="49"/>
      <c r="K565" s="49"/>
      <c r="L565" s="49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9"/>
      <c r="J566" s="49"/>
      <c r="K566" s="49"/>
      <c r="L566" s="49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9"/>
      <c r="J567" s="49"/>
      <c r="K567" s="49"/>
      <c r="L567" s="49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9"/>
      <c r="J568" s="49"/>
      <c r="K568" s="49"/>
      <c r="L568" s="49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9"/>
      <c r="J569" s="49"/>
      <c r="K569" s="49"/>
      <c r="L569" s="49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9"/>
      <c r="J570" s="49"/>
      <c r="K570" s="49"/>
      <c r="L570" s="49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9"/>
      <c r="J571" s="49"/>
      <c r="K571" s="49"/>
      <c r="L571" s="49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9"/>
      <c r="J572" s="49"/>
      <c r="K572" s="49"/>
      <c r="L572" s="49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9"/>
      <c r="J573" s="49"/>
      <c r="K573" s="49"/>
      <c r="L573" s="49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9"/>
      <c r="J574" s="49"/>
      <c r="K574" s="49"/>
      <c r="L574" s="49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9"/>
      <c r="J575" s="49"/>
      <c r="K575" s="49"/>
      <c r="L575" s="49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9"/>
      <c r="J576" s="49"/>
      <c r="K576" s="49"/>
      <c r="L576" s="49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9"/>
      <c r="J577" s="49"/>
      <c r="K577" s="49"/>
      <c r="L577" s="49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9"/>
      <c r="J578" s="49"/>
      <c r="K578" s="49"/>
      <c r="L578" s="49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9"/>
      <c r="J579" s="49"/>
      <c r="K579" s="49"/>
      <c r="L579" s="49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9"/>
      <c r="J580" s="49"/>
      <c r="K580" s="49"/>
      <c r="L580" s="49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9"/>
      <c r="J581" s="49"/>
      <c r="K581" s="49"/>
      <c r="L581" s="49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9"/>
      <c r="J582" s="49"/>
      <c r="K582" s="49"/>
      <c r="L582" s="49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9"/>
      <c r="J583" s="49"/>
      <c r="K583" s="49"/>
      <c r="L583" s="49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9"/>
      <c r="J584" s="49"/>
      <c r="K584" s="49"/>
      <c r="L584" s="49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9"/>
      <c r="J585" s="49"/>
      <c r="K585" s="49"/>
      <c r="L585" s="49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9"/>
      <c r="J586" s="49"/>
      <c r="K586" s="49"/>
      <c r="L586" s="49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9"/>
      <c r="J587" s="49"/>
      <c r="K587" s="49"/>
      <c r="L587" s="49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9"/>
      <c r="J588" s="49"/>
      <c r="K588" s="49"/>
      <c r="L588" s="49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9"/>
      <c r="J589" s="49"/>
      <c r="K589" s="49"/>
      <c r="L589" s="49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9"/>
      <c r="J590" s="49"/>
      <c r="K590" s="49"/>
      <c r="L590" s="49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9"/>
      <c r="J591" s="49"/>
      <c r="K591" s="49"/>
      <c r="L591" s="49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9"/>
      <c r="J592" s="49"/>
      <c r="K592" s="49"/>
      <c r="L592" s="49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9"/>
      <c r="J593" s="49"/>
      <c r="K593" s="49"/>
      <c r="L593" s="49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9"/>
      <c r="J594" s="49"/>
      <c r="K594" s="49"/>
      <c r="L594" s="49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9"/>
      <c r="J595" s="49"/>
      <c r="K595" s="49"/>
      <c r="L595" s="49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9"/>
      <c r="J596" s="49"/>
      <c r="K596" s="49"/>
      <c r="L596" s="49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9"/>
      <c r="J597" s="49"/>
      <c r="K597" s="49"/>
      <c r="L597" s="49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9"/>
      <c r="J598" s="49"/>
      <c r="K598" s="49"/>
      <c r="L598" s="49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9"/>
      <c r="J599" s="49"/>
      <c r="K599" s="49"/>
      <c r="L599" s="49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9"/>
      <c r="J600" s="49"/>
      <c r="K600" s="49"/>
      <c r="L600" s="49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9"/>
      <c r="J601" s="49"/>
      <c r="K601" s="49"/>
      <c r="L601" s="49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9"/>
      <c r="J602" s="49"/>
      <c r="K602" s="49"/>
      <c r="L602" s="49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9"/>
      <c r="J603" s="49"/>
      <c r="K603" s="49"/>
      <c r="L603" s="49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9"/>
      <c r="J604" s="49"/>
      <c r="K604" s="49"/>
      <c r="L604" s="49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9"/>
      <c r="J605" s="49"/>
      <c r="K605" s="49"/>
      <c r="L605" s="49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9"/>
      <c r="J606" s="49"/>
      <c r="K606" s="49"/>
      <c r="L606" s="49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9"/>
      <c r="J607" s="49"/>
      <c r="K607" s="49"/>
      <c r="L607" s="49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9"/>
      <c r="J608" s="49"/>
      <c r="K608" s="49"/>
      <c r="L608" s="49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9"/>
      <c r="J609" s="49"/>
      <c r="K609" s="49"/>
      <c r="L609" s="49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9"/>
      <c r="J610" s="49"/>
      <c r="K610" s="49"/>
      <c r="L610" s="49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9"/>
      <c r="J611" s="49"/>
      <c r="K611" s="49"/>
      <c r="L611" s="49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9"/>
      <c r="J612" s="49"/>
      <c r="K612" s="49"/>
      <c r="L612" s="49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9"/>
      <c r="J613" s="49"/>
      <c r="K613" s="49"/>
      <c r="L613" s="49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9"/>
      <c r="J614" s="49"/>
      <c r="K614" s="49"/>
      <c r="L614" s="49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9"/>
      <c r="J615" s="49"/>
      <c r="K615" s="49"/>
      <c r="L615" s="49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9"/>
      <c r="J616" s="49"/>
      <c r="K616" s="49"/>
      <c r="L616" s="49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9"/>
      <c r="J617" s="49"/>
      <c r="K617" s="49"/>
      <c r="L617" s="49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</row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</sheetData>
  <hyperlinks>
    <hyperlink r:id="rId1" ref="N4"/>
    <hyperlink r:id="rId2" ref="N5"/>
    <hyperlink r:id="rId3" ref="E6"/>
    <hyperlink r:id="rId4" ref="N6"/>
    <hyperlink r:id="rId5" ref="E7"/>
    <hyperlink r:id="rId6" ref="F7"/>
    <hyperlink r:id="rId7" ref="N7"/>
    <hyperlink r:id="rId8" ref="P7"/>
    <hyperlink r:id="rId9" ref="N8"/>
    <hyperlink r:id="rId10" ref="N9"/>
    <hyperlink r:id="rId11" ref="P9"/>
    <hyperlink r:id="rId12" ref="N10"/>
    <hyperlink r:id="rId13" ref="P10"/>
    <hyperlink r:id="rId14" ref="N11"/>
    <hyperlink r:id="rId15" ref="E12"/>
    <hyperlink r:id="rId16" ref="N12"/>
    <hyperlink r:id="rId17" ref="E13"/>
    <hyperlink r:id="rId18" ref="N13"/>
    <hyperlink r:id="rId19" ref="E14"/>
    <hyperlink r:id="rId20" ref="F14"/>
    <hyperlink r:id="rId21" ref="N14"/>
    <hyperlink r:id="rId22" ref="P14"/>
    <hyperlink r:id="rId23" ref="E15"/>
    <hyperlink r:id="rId24" ref="F15"/>
    <hyperlink r:id="rId25" ref="N15"/>
    <hyperlink r:id="rId26" ref="E16"/>
    <hyperlink r:id="rId27" ref="F16"/>
    <hyperlink r:id="rId28" ref="N16"/>
    <hyperlink r:id="rId29" ref="N17"/>
    <hyperlink r:id="rId30" ref="E18"/>
    <hyperlink r:id="rId31" ref="N18"/>
    <hyperlink r:id="rId32" ref="F19"/>
    <hyperlink r:id="rId33" ref="N19"/>
    <hyperlink r:id="rId34" ref="E20"/>
    <hyperlink r:id="rId35" ref="N20"/>
    <hyperlink r:id="rId36" ref="E21"/>
    <hyperlink r:id="rId37" ref="N21"/>
    <hyperlink r:id="rId38" ref="N22"/>
    <hyperlink r:id="rId39" ref="E23"/>
    <hyperlink r:id="rId40" ref="F23"/>
    <hyperlink r:id="rId41" ref="N23"/>
    <hyperlink r:id="rId42" ref="P23"/>
    <hyperlink r:id="rId43" ref="E24"/>
    <hyperlink r:id="rId44" ref="F24"/>
    <hyperlink r:id="rId45" ref="N24"/>
    <hyperlink r:id="rId46" ref="P24"/>
    <hyperlink r:id="rId47" ref="D25"/>
    <hyperlink r:id="rId48" ref="E25"/>
    <hyperlink r:id="rId49" ref="F25"/>
    <hyperlink r:id="rId50" ref="N25"/>
    <hyperlink r:id="rId51" ref="P25"/>
    <hyperlink r:id="rId52" ref="F26"/>
    <hyperlink r:id="rId53" ref="N26"/>
    <hyperlink r:id="rId54" ref="N27"/>
    <hyperlink r:id="rId55" ref="N28"/>
    <hyperlink r:id="rId56" ref="P28"/>
    <hyperlink r:id="rId57" ref="E29"/>
    <hyperlink r:id="rId58" ref="F29"/>
    <hyperlink r:id="rId59" ref="N29"/>
    <hyperlink r:id="rId60" ref="P29"/>
    <hyperlink r:id="rId61" ref="N30"/>
    <hyperlink r:id="rId62" ref="E31"/>
    <hyperlink r:id="rId63" ref="N31"/>
    <hyperlink r:id="rId64" ref="E32"/>
    <hyperlink r:id="rId65" ref="N32"/>
    <hyperlink r:id="rId66" ref="E33"/>
    <hyperlink r:id="rId67" ref="N33"/>
    <hyperlink r:id="rId68" ref="E34"/>
    <hyperlink r:id="rId69" ref="N34"/>
    <hyperlink r:id="rId70" ref="E35"/>
    <hyperlink r:id="rId71" ref="N35"/>
    <hyperlink r:id="rId72" ref="E36"/>
    <hyperlink r:id="rId73" ref="N36"/>
    <hyperlink r:id="rId74" ref="E37"/>
    <hyperlink r:id="rId75" ref="N37"/>
    <hyperlink r:id="rId76" ref="E38"/>
    <hyperlink r:id="rId77" ref="N38"/>
    <hyperlink r:id="rId78" ref="E39"/>
    <hyperlink r:id="rId79" ref="N39"/>
    <hyperlink r:id="rId80" ref="E40"/>
    <hyperlink r:id="rId81" ref="N40"/>
    <hyperlink r:id="rId82" ref="E41"/>
    <hyperlink r:id="rId83" ref="N41"/>
    <hyperlink r:id="rId84" ref="E42"/>
    <hyperlink r:id="rId85" ref="F42"/>
    <hyperlink r:id="rId86" ref="N42"/>
    <hyperlink r:id="rId87" ref="P42"/>
    <hyperlink r:id="rId88" ref="E43"/>
    <hyperlink r:id="rId89" ref="F43"/>
    <hyperlink r:id="rId90" ref="N43"/>
    <hyperlink r:id="rId91" ref="E44"/>
    <hyperlink r:id="rId92" ref="N44"/>
    <hyperlink r:id="rId93" ref="E45"/>
    <hyperlink r:id="rId94" ref="N45"/>
    <hyperlink r:id="rId95" ref="E46"/>
    <hyperlink r:id="rId96" ref="N46"/>
    <hyperlink r:id="rId97" ref="E47"/>
    <hyperlink r:id="rId98" ref="N47"/>
    <hyperlink r:id="rId99" ref="E48"/>
    <hyperlink r:id="rId100" ref="N48"/>
    <hyperlink r:id="rId101" ref="E49"/>
    <hyperlink r:id="rId102" ref="N49"/>
    <hyperlink r:id="rId103" ref="E50"/>
    <hyperlink r:id="rId104" ref="N50"/>
    <hyperlink r:id="rId105" ref="E51"/>
    <hyperlink r:id="rId106" ref="N51"/>
    <hyperlink r:id="rId107" ref="E52"/>
    <hyperlink r:id="rId108" ref="N52"/>
    <hyperlink r:id="rId109" ref="N53"/>
    <hyperlink r:id="rId110" ref="N54"/>
    <hyperlink r:id="rId111" ref="E55"/>
    <hyperlink r:id="rId112" ref="F55"/>
    <hyperlink r:id="rId113" ref="N55"/>
    <hyperlink r:id="rId114" ref="P55"/>
    <hyperlink r:id="rId115" ref="E56"/>
    <hyperlink r:id="rId116" ref="N56"/>
    <hyperlink r:id="rId117" ref="E57"/>
    <hyperlink r:id="rId118" ref="N57"/>
    <hyperlink r:id="rId119" ref="E58"/>
    <hyperlink r:id="rId120" ref="N58"/>
    <hyperlink r:id="rId121" ref="E60"/>
    <hyperlink r:id="rId122" ref="N60"/>
    <hyperlink r:id="rId123" ref="E61"/>
    <hyperlink r:id="rId124" ref="N61"/>
    <hyperlink r:id="rId125" ref="E62"/>
    <hyperlink r:id="rId126" ref="N62"/>
    <hyperlink r:id="rId127" ref="E63"/>
    <hyperlink r:id="rId128" ref="F63"/>
    <hyperlink r:id="rId129" ref="N63"/>
    <hyperlink r:id="rId130" ref="P63"/>
    <hyperlink r:id="rId131" ref="E64"/>
    <hyperlink r:id="rId132" ref="F64"/>
    <hyperlink r:id="rId133" ref="N64"/>
    <hyperlink r:id="rId134" ref="E65"/>
    <hyperlink r:id="rId135" ref="N65"/>
    <hyperlink r:id="rId136" ref="E66"/>
    <hyperlink r:id="rId137" ref="N66"/>
    <hyperlink r:id="rId138" ref="E67"/>
    <hyperlink r:id="rId139" ref="N67"/>
    <hyperlink r:id="rId140" ref="E69"/>
    <hyperlink r:id="rId141" ref="N69"/>
    <hyperlink r:id="rId142" ref="E70"/>
    <hyperlink r:id="rId143" ref="F70"/>
    <hyperlink r:id="rId144" ref="N70"/>
    <hyperlink r:id="rId145" ref="E71"/>
    <hyperlink r:id="rId146" ref="N71"/>
    <hyperlink r:id="rId147" ref="E72"/>
    <hyperlink r:id="rId148" ref="F72"/>
    <hyperlink r:id="rId149" ref="N72"/>
    <hyperlink r:id="rId150" ref="E73"/>
    <hyperlink r:id="rId151" ref="N73"/>
    <hyperlink r:id="rId152" ref="E74"/>
    <hyperlink r:id="rId153" ref="F74"/>
    <hyperlink r:id="rId154" ref="N74"/>
    <hyperlink r:id="rId155" ref="E75"/>
    <hyperlink r:id="rId156" ref="N75"/>
    <hyperlink r:id="rId157" ref="E76"/>
    <hyperlink r:id="rId158" ref="F76"/>
    <hyperlink r:id="rId159" ref="E77"/>
    <hyperlink r:id="rId160" ref="F77"/>
    <hyperlink r:id="rId161" ref="N77"/>
    <hyperlink r:id="rId162" ref="E78"/>
    <hyperlink r:id="rId163" ref="F78"/>
    <hyperlink r:id="rId164" ref="N78"/>
    <hyperlink r:id="rId165" ref="E79"/>
    <hyperlink r:id="rId166" ref="F79"/>
    <hyperlink r:id="rId167" ref="N79"/>
    <hyperlink r:id="rId168" ref="E80"/>
    <hyperlink r:id="rId169" ref="F80"/>
    <hyperlink r:id="rId170" ref="N80"/>
    <hyperlink r:id="rId171" ref="E81"/>
    <hyperlink r:id="rId172" ref="N81"/>
    <hyperlink r:id="rId173" ref="E82"/>
    <hyperlink r:id="rId174" ref="N82"/>
    <hyperlink r:id="rId175" ref="E83"/>
    <hyperlink r:id="rId176" ref="N83"/>
    <hyperlink r:id="rId177" ref="E84"/>
    <hyperlink r:id="rId178" ref="N84"/>
    <hyperlink r:id="rId179" ref="E85"/>
    <hyperlink r:id="rId180" ref="N85"/>
    <hyperlink r:id="rId181" ref="E86"/>
    <hyperlink r:id="rId182" ref="F86"/>
    <hyperlink r:id="rId183" ref="N86"/>
    <hyperlink r:id="rId184" ref="P86"/>
    <hyperlink r:id="rId185" ref="N87"/>
    <hyperlink r:id="rId186" ref="P87"/>
    <hyperlink r:id="rId187" ref="E88"/>
    <hyperlink r:id="rId188" ref="F88"/>
    <hyperlink r:id="rId189" ref="N88"/>
    <hyperlink r:id="rId190" ref="N89"/>
    <hyperlink r:id="rId191" ref="N90"/>
    <hyperlink r:id="rId192" ref="E91"/>
    <hyperlink r:id="rId193" ref="F91"/>
    <hyperlink r:id="rId194" ref="N91"/>
    <hyperlink r:id="rId195" ref="N92"/>
    <hyperlink r:id="rId196" ref="N93"/>
    <hyperlink r:id="rId197" ref="N94"/>
    <hyperlink r:id="rId198" ref="E95"/>
    <hyperlink r:id="rId199" ref="F95"/>
    <hyperlink r:id="rId200" ref="E96"/>
    <hyperlink r:id="rId201" ref="F96"/>
    <hyperlink r:id="rId202" ref="N96"/>
    <hyperlink r:id="rId203" ref="P96"/>
    <hyperlink r:id="rId204" ref="N97"/>
    <hyperlink r:id="rId205" ref="N98"/>
    <hyperlink r:id="rId206" ref="E99"/>
    <hyperlink r:id="rId207" ref="N99"/>
    <hyperlink r:id="rId208" ref="E100"/>
    <hyperlink r:id="rId209" ref="N100"/>
    <hyperlink r:id="rId210" ref="P100"/>
    <hyperlink r:id="rId211" ref="N101"/>
    <hyperlink r:id="rId212" ref="E102"/>
    <hyperlink r:id="rId213" ref="N102"/>
    <hyperlink r:id="rId214" ref="E103"/>
    <hyperlink r:id="rId215" ref="F103"/>
    <hyperlink r:id="rId216" ref="N103"/>
    <hyperlink r:id="rId217" ref="E104"/>
    <hyperlink r:id="rId218" ref="F104"/>
    <hyperlink r:id="rId219" ref="N104"/>
    <hyperlink r:id="rId220" ref="E105"/>
    <hyperlink r:id="rId221" ref="F105"/>
    <hyperlink r:id="rId222" ref="N105"/>
    <hyperlink r:id="rId223" ref="P105"/>
    <hyperlink r:id="rId224" ref="N107"/>
    <hyperlink r:id="rId225" ref="E109"/>
    <hyperlink r:id="rId226" ref="N109"/>
    <hyperlink r:id="rId227" ref="E110"/>
    <hyperlink r:id="rId228" ref="F110"/>
    <hyperlink r:id="rId229" ref="N110"/>
    <hyperlink r:id="rId230" ref="E111"/>
    <hyperlink r:id="rId231" ref="F111"/>
    <hyperlink r:id="rId232" ref="N111"/>
    <hyperlink r:id="rId233" ref="N112"/>
    <hyperlink r:id="rId234" ref="N113"/>
    <hyperlink r:id="rId235" ref="N114"/>
    <hyperlink r:id="rId236" ref="N116"/>
    <hyperlink r:id="rId237" ref="N117"/>
    <hyperlink r:id="rId238" ref="E119"/>
    <hyperlink r:id="rId239" ref="N119"/>
    <hyperlink r:id="rId240" ref="E120"/>
    <hyperlink r:id="rId241" ref="N120"/>
    <hyperlink r:id="rId242" ref="E121"/>
    <hyperlink r:id="rId243" ref="N121"/>
    <hyperlink r:id="rId244" ref="E122"/>
    <hyperlink r:id="rId245" ref="N122"/>
    <hyperlink r:id="rId246" ref="E123"/>
    <hyperlink r:id="rId247" ref="N123"/>
    <hyperlink r:id="rId248" ref="E124"/>
    <hyperlink r:id="rId249" ref="N124"/>
    <hyperlink r:id="rId250" ref="E125"/>
    <hyperlink r:id="rId251" ref="N125"/>
    <hyperlink r:id="rId252" ref="E126"/>
    <hyperlink r:id="rId253" ref="N126"/>
    <hyperlink r:id="rId254" ref="E127"/>
    <hyperlink r:id="rId255" ref="F127"/>
    <hyperlink r:id="rId256" ref="N127"/>
    <hyperlink r:id="rId257" ref="E128"/>
    <hyperlink r:id="rId258" ref="F128"/>
    <hyperlink r:id="rId259" ref="N128"/>
    <hyperlink r:id="rId260" ref="N129"/>
    <hyperlink r:id="rId261" ref="N130"/>
    <hyperlink r:id="rId262" ref="E132"/>
    <hyperlink r:id="rId263" ref="F132"/>
    <hyperlink r:id="rId264" ref="N132"/>
    <hyperlink r:id="rId265" ref="E133"/>
    <hyperlink r:id="rId266" ref="F133"/>
    <hyperlink r:id="rId267" ref="N133"/>
    <hyperlink r:id="rId268" ref="E134"/>
    <hyperlink r:id="rId269" ref="F134"/>
    <hyperlink r:id="rId270" ref="N134"/>
    <hyperlink r:id="rId271" ref="E135"/>
    <hyperlink r:id="rId272" ref="F135"/>
    <hyperlink r:id="rId273" ref="N135"/>
    <hyperlink r:id="rId274" ref="E136"/>
    <hyperlink r:id="rId275" ref="N136"/>
    <hyperlink r:id="rId276" ref="E137"/>
    <hyperlink r:id="rId277" ref="F137"/>
    <hyperlink r:id="rId278" ref="N137"/>
    <hyperlink r:id="rId279" ref="E138"/>
    <hyperlink r:id="rId280" ref="F138"/>
    <hyperlink r:id="rId281" ref="N138"/>
    <hyperlink r:id="rId282" ref="E139"/>
    <hyperlink r:id="rId283" ref="F139"/>
    <hyperlink r:id="rId284" ref="N139"/>
    <hyperlink r:id="rId285" ref="E140"/>
    <hyperlink r:id="rId286" ref="N140"/>
    <hyperlink r:id="rId287" ref="E141"/>
    <hyperlink r:id="rId288" ref="N141"/>
    <hyperlink r:id="rId289" ref="E142"/>
    <hyperlink r:id="rId290" ref="N142"/>
    <hyperlink r:id="rId291" ref="E143"/>
    <hyperlink r:id="rId292" ref="N143"/>
    <hyperlink r:id="rId293" ref="E144"/>
    <hyperlink r:id="rId294" ref="N144"/>
    <hyperlink r:id="rId295" ref="E145"/>
    <hyperlink r:id="rId296" ref="N145"/>
    <hyperlink r:id="rId297" ref="E146"/>
    <hyperlink r:id="rId298" ref="N146"/>
    <hyperlink r:id="rId299" ref="E147"/>
    <hyperlink r:id="rId300" ref="N147"/>
    <hyperlink r:id="rId301" ref="E148"/>
    <hyperlink r:id="rId302" ref="N148"/>
    <hyperlink r:id="rId303" ref="E149"/>
    <hyperlink r:id="rId304" ref="N149"/>
    <hyperlink r:id="rId305" ref="E150"/>
    <hyperlink r:id="rId306" ref="N150"/>
    <hyperlink r:id="rId307" ref="N152"/>
    <hyperlink r:id="rId308" ref="N153"/>
    <hyperlink r:id="rId309" ref="E154"/>
    <hyperlink r:id="rId310" ref="N154"/>
    <hyperlink r:id="rId311" ref="E155"/>
    <hyperlink r:id="rId312" ref="N155"/>
    <hyperlink r:id="rId313" ref="E156"/>
    <hyperlink r:id="rId314" ref="N156"/>
    <hyperlink r:id="rId315" ref="E157"/>
    <hyperlink r:id="rId316" ref="N157"/>
    <hyperlink r:id="rId317" ref="E158"/>
    <hyperlink r:id="rId318" ref="N158"/>
    <hyperlink r:id="rId319" ref="N159"/>
    <hyperlink r:id="rId320" ref="N160"/>
    <hyperlink r:id="rId321" ref="N162"/>
    <hyperlink r:id="rId322" ref="P162"/>
    <hyperlink r:id="rId323" ref="E163"/>
    <hyperlink r:id="rId324" ref="F163"/>
    <hyperlink r:id="rId325" ref="N163"/>
    <hyperlink r:id="rId326" ref="E164"/>
    <hyperlink r:id="rId327" ref="F164"/>
    <hyperlink r:id="rId328" ref="N164"/>
    <hyperlink r:id="rId329" ref="P164"/>
    <hyperlink r:id="rId330" ref="N165"/>
    <hyperlink r:id="rId331" ref="N166"/>
    <hyperlink r:id="rId332" ref="N167"/>
    <hyperlink r:id="rId333" ref="E168"/>
    <hyperlink r:id="rId334" ref="N168"/>
    <hyperlink r:id="rId335" ref="E169"/>
    <hyperlink r:id="rId336" ref="N169"/>
    <hyperlink r:id="rId337" ref="E170"/>
    <hyperlink r:id="rId338" ref="N170"/>
    <hyperlink r:id="rId339" ref="E171"/>
    <hyperlink r:id="rId340" ref="N171"/>
    <hyperlink r:id="rId341" ref="P171"/>
    <hyperlink r:id="rId342" ref="E172"/>
    <hyperlink r:id="rId343" ref="N172"/>
    <hyperlink r:id="rId344" ref="P172"/>
    <hyperlink r:id="rId345" ref="E173"/>
    <hyperlink r:id="rId346" ref="N173"/>
    <hyperlink r:id="rId347" ref="E174"/>
    <hyperlink r:id="rId348" ref="N174"/>
    <hyperlink r:id="rId349" ref="E175"/>
    <hyperlink r:id="rId350" ref="N175"/>
    <hyperlink r:id="rId351" ref="E176"/>
    <hyperlink r:id="rId352" ref="F176"/>
    <hyperlink r:id="rId353" ref="N176"/>
    <hyperlink r:id="rId354" ref="E177"/>
    <hyperlink r:id="rId355" ref="F177"/>
    <hyperlink r:id="rId356" ref="N177"/>
    <hyperlink r:id="rId357" ref="P177"/>
    <hyperlink r:id="rId358" ref="E178"/>
    <hyperlink r:id="rId359" ref="F178"/>
    <hyperlink r:id="rId360" ref="N178"/>
    <hyperlink r:id="rId361" ref="E179"/>
    <hyperlink r:id="rId362" ref="F179"/>
    <hyperlink r:id="rId363" ref="N179"/>
    <hyperlink r:id="rId364" ref="E180"/>
    <hyperlink r:id="rId365" ref="N180"/>
    <hyperlink r:id="rId366" ref="E181"/>
    <hyperlink r:id="rId367" ref="N181"/>
    <hyperlink r:id="rId368" ref="E182"/>
    <hyperlink r:id="rId369" ref="N182"/>
    <hyperlink r:id="rId370" ref="E183"/>
    <hyperlink r:id="rId371" ref="N183"/>
    <hyperlink r:id="rId372" ref="N184"/>
    <hyperlink r:id="rId373" ref="N185"/>
    <hyperlink r:id="rId374" ref="E187"/>
    <hyperlink r:id="rId375" ref="N187"/>
    <hyperlink r:id="rId376" ref="N188"/>
    <hyperlink r:id="rId377" ref="N189"/>
    <hyperlink r:id="rId378" ref="E190"/>
    <hyperlink r:id="rId379" ref="F190"/>
    <hyperlink r:id="rId380" ref="N190"/>
    <hyperlink r:id="rId381" ref="P190"/>
    <hyperlink r:id="rId382" ref="E191"/>
    <hyperlink r:id="rId383" ref="F191"/>
    <hyperlink r:id="rId384" ref="E192"/>
    <hyperlink r:id="rId385" ref="F192"/>
    <hyperlink r:id="rId386" ref="N192"/>
    <hyperlink r:id="rId387" ref="P192"/>
    <hyperlink r:id="rId388" ref="E193"/>
    <hyperlink r:id="rId389" ref="F193"/>
    <hyperlink r:id="rId390" ref="N193"/>
    <hyperlink r:id="rId391" ref="P193"/>
    <hyperlink r:id="rId392" ref="E194"/>
    <hyperlink r:id="rId393" ref="F194"/>
    <hyperlink r:id="rId394" ref="N194"/>
    <hyperlink r:id="rId395" ref="E195"/>
    <hyperlink r:id="rId396" ref="F195"/>
    <hyperlink r:id="rId397" ref="N195"/>
    <hyperlink r:id="rId398" ref="E196"/>
    <hyperlink r:id="rId399" ref="F196"/>
    <hyperlink r:id="rId400" ref="N196"/>
    <hyperlink r:id="rId401" ref="E197"/>
    <hyperlink r:id="rId402" ref="F197"/>
    <hyperlink r:id="rId403" ref="N197"/>
    <hyperlink r:id="rId404" ref="E198"/>
    <hyperlink r:id="rId405" ref="N198"/>
    <hyperlink r:id="rId406" ref="E199"/>
    <hyperlink r:id="rId407" ref="N199"/>
    <hyperlink r:id="rId408" ref="E200"/>
    <hyperlink r:id="rId409" ref="N200"/>
    <hyperlink r:id="rId410" ref="E201"/>
    <hyperlink r:id="rId411" ref="N201"/>
    <hyperlink r:id="rId412" ref="E202"/>
    <hyperlink r:id="rId413" ref="F202"/>
    <hyperlink r:id="rId414" ref="N202"/>
    <hyperlink r:id="rId415" ref="E203"/>
    <hyperlink r:id="rId416" ref="F203"/>
    <hyperlink r:id="rId417" ref="N203"/>
    <hyperlink r:id="rId418" ref="E204"/>
    <hyperlink r:id="rId419" ref="N204"/>
    <hyperlink r:id="rId420" ref="E205"/>
    <hyperlink r:id="rId421" ref="N205"/>
    <hyperlink r:id="rId422" ref="E206"/>
    <hyperlink r:id="rId423" ref="N206"/>
    <hyperlink r:id="rId424" ref="E207"/>
    <hyperlink r:id="rId425" ref="N207"/>
    <hyperlink r:id="rId426" ref="E208"/>
    <hyperlink r:id="rId427" ref="N208"/>
    <hyperlink r:id="rId428" ref="E210"/>
    <hyperlink r:id="rId429" ref="F210"/>
    <hyperlink r:id="rId430" ref="N210"/>
    <hyperlink r:id="rId431" ref="E211"/>
    <hyperlink r:id="rId432" ref="F211"/>
    <hyperlink r:id="rId433" ref="N211"/>
    <hyperlink r:id="rId434" ref="E212"/>
    <hyperlink r:id="rId435" ref="N212"/>
    <hyperlink r:id="rId436" ref="E213"/>
    <hyperlink r:id="rId437" ref="F213"/>
    <hyperlink r:id="rId438" ref="N213"/>
    <hyperlink r:id="rId439" ref="E214"/>
    <hyperlink r:id="rId440" ref="N214"/>
    <hyperlink r:id="rId441" ref="E215"/>
    <hyperlink r:id="rId442" ref="N215"/>
    <hyperlink r:id="rId443" ref="E216"/>
    <hyperlink r:id="rId444" ref="N216"/>
    <hyperlink r:id="rId445" ref="E217"/>
    <hyperlink r:id="rId446" ref="N217"/>
    <hyperlink r:id="rId447" ref="N218"/>
    <hyperlink r:id="rId448" ref="E219"/>
    <hyperlink r:id="rId449" ref="F219"/>
    <hyperlink r:id="rId450" ref="N219"/>
    <hyperlink r:id="rId451" ref="P219"/>
    <hyperlink r:id="rId452" ref="E220"/>
    <hyperlink r:id="rId453" ref="F220"/>
    <hyperlink r:id="rId454" ref="N220"/>
    <hyperlink r:id="rId455" ref="E221"/>
    <hyperlink r:id="rId456" ref="F221"/>
    <hyperlink r:id="rId457" ref="N221"/>
    <hyperlink r:id="rId458" ref="E222"/>
    <hyperlink r:id="rId459" ref="N222"/>
    <hyperlink r:id="rId460" ref="E223"/>
    <hyperlink r:id="rId461" ref="N223"/>
    <hyperlink r:id="rId462" ref="N224"/>
    <hyperlink r:id="rId463" ref="E225"/>
    <hyperlink r:id="rId464" ref="N225"/>
    <hyperlink r:id="rId465" ref="E226"/>
    <hyperlink r:id="rId466" ref="N226"/>
    <hyperlink r:id="rId467" ref="N227"/>
    <hyperlink r:id="rId468" ref="P227"/>
    <hyperlink r:id="rId469" ref="E228"/>
    <hyperlink r:id="rId470" ref="N228"/>
    <hyperlink r:id="rId471" ref="P228"/>
    <hyperlink r:id="rId472" ref="E229"/>
    <hyperlink r:id="rId473" ref="N229"/>
    <hyperlink r:id="rId474" ref="P229"/>
    <hyperlink r:id="rId475" ref="N230"/>
    <hyperlink r:id="rId476" ref="P230"/>
    <hyperlink r:id="rId477" ref="E231"/>
    <hyperlink r:id="rId478" ref="F231"/>
    <hyperlink r:id="rId479" ref="N231"/>
    <hyperlink r:id="rId480" ref="E232"/>
    <hyperlink r:id="rId481" ref="F232"/>
    <hyperlink r:id="rId482" ref="N232"/>
    <hyperlink r:id="rId483" ref="E233"/>
    <hyperlink r:id="rId484" ref="N233"/>
    <hyperlink r:id="rId485" ref="E234"/>
    <hyperlink r:id="rId486" ref="F234"/>
    <hyperlink r:id="rId487" ref="N234"/>
    <hyperlink r:id="rId488" ref="N235"/>
    <hyperlink r:id="rId489" ref="N236"/>
    <hyperlink r:id="rId490" ref="E237"/>
    <hyperlink r:id="rId491" ref="N237"/>
    <hyperlink r:id="rId492" ref="E238"/>
    <hyperlink r:id="rId493" ref="N238"/>
    <hyperlink r:id="rId494" ref="E239"/>
    <hyperlink r:id="rId495" ref="N239"/>
    <hyperlink r:id="rId496" ref="N240"/>
    <hyperlink r:id="rId497" ref="E241"/>
    <hyperlink r:id="rId498" ref="F241"/>
    <hyperlink r:id="rId499" ref="N241"/>
    <hyperlink r:id="rId500" ref="E243"/>
    <hyperlink r:id="rId501" ref="N243"/>
    <hyperlink r:id="rId502" ref="E244"/>
    <hyperlink r:id="rId503" ref="N244"/>
    <hyperlink r:id="rId504" ref="E245"/>
    <hyperlink r:id="rId505" ref="N245"/>
    <hyperlink r:id="rId506" ref="E246"/>
    <hyperlink r:id="rId507" ref="N246"/>
    <hyperlink r:id="rId508" ref="E247"/>
    <hyperlink r:id="rId509" ref="N247"/>
    <hyperlink r:id="rId510" ref="N248"/>
    <hyperlink r:id="rId511" ref="N249"/>
    <hyperlink r:id="rId512" ref="N250"/>
    <hyperlink r:id="rId513" ref="N251"/>
    <hyperlink r:id="rId514" ref="N252"/>
    <hyperlink r:id="rId515" ref="N253"/>
    <hyperlink r:id="rId516" ref="E254"/>
    <hyperlink r:id="rId517" ref="N254"/>
    <hyperlink r:id="rId518" ref="E255"/>
    <hyperlink r:id="rId519" ref="F255"/>
    <hyperlink r:id="rId520" ref="N255"/>
    <hyperlink r:id="rId521" ref="P255"/>
    <hyperlink r:id="rId522" ref="E256"/>
    <hyperlink r:id="rId523" ref="F256"/>
    <hyperlink r:id="rId524" ref="N256"/>
    <hyperlink r:id="rId525" ref="P256"/>
    <hyperlink r:id="rId526" ref="E257"/>
    <hyperlink r:id="rId527" ref="F257"/>
    <hyperlink r:id="rId528" ref="N257"/>
    <hyperlink r:id="rId529" ref="N258"/>
    <hyperlink r:id="rId530" ref="N259"/>
    <hyperlink r:id="rId531" ref="N260"/>
    <hyperlink r:id="rId532" ref="E261"/>
    <hyperlink r:id="rId533" ref="N261"/>
    <hyperlink r:id="rId534" ref="E262"/>
    <hyperlink r:id="rId535" ref="N262"/>
    <hyperlink r:id="rId536" ref="E263"/>
    <hyperlink r:id="rId537" ref="N263"/>
    <hyperlink r:id="rId538" ref="E265"/>
    <hyperlink r:id="rId539" ref="F265"/>
    <hyperlink r:id="rId540" ref="N265"/>
    <hyperlink r:id="rId541" ref="E266"/>
    <hyperlink r:id="rId542" ref="F266"/>
    <hyperlink r:id="rId543" ref="N266"/>
    <hyperlink r:id="rId544" ref="E267"/>
    <hyperlink r:id="rId545" ref="N267"/>
    <hyperlink r:id="rId546" ref="E268"/>
    <hyperlink r:id="rId547" ref="N268"/>
    <hyperlink r:id="rId548" ref="E269"/>
    <hyperlink r:id="rId549" ref="N269"/>
    <hyperlink r:id="rId550" ref="E270"/>
    <hyperlink r:id="rId551" ref="N270"/>
    <hyperlink r:id="rId552" ref="E271"/>
    <hyperlink r:id="rId553" ref="N271"/>
    <hyperlink r:id="rId554" ref="E272"/>
    <hyperlink r:id="rId555" ref="F272"/>
    <hyperlink r:id="rId556" ref="N272"/>
    <hyperlink r:id="rId557" ref="P272"/>
    <hyperlink r:id="rId558" ref="N273"/>
    <hyperlink r:id="rId559" ref="N274"/>
    <hyperlink r:id="rId560" ref="N275"/>
    <hyperlink r:id="rId561" ref="E276"/>
    <hyperlink r:id="rId562" ref="F276"/>
    <hyperlink r:id="rId563" ref="N276"/>
    <hyperlink r:id="rId564" ref="E277"/>
    <hyperlink r:id="rId565" ref="F277"/>
    <hyperlink r:id="rId566" ref="N277"/>
    <hyperlink r:id="rId567" ref="E278"/>
    <hyperlink r:id="rId568" ref="F278"/>
    <hyperlink r:id="rId569" ref="N278"/>
    <hyperlink r:id="rId570" ref="E279"/>
    <hyperlink r:id="rId571" ref="F279"/>
    <hyperlink r:id="rId572" ref="N279"/>
    <hyperlink r:id="rId573" ref="E280"/>
    <hyperlink r:id="rId574" ref="N280"/>
    <hyperlink r:id="rId575" ref="E281"/>
    <hyperlink r:id="rId576" ref="F281"/>
    <hyperlink r:id="rId577" ref="N281"/>
    <hyperlink r:id="rId578" ref="N283"/>
    <hyperlink r:id="rId579" ref="N284"/>
    <hyperlink r:id="rId580" ref="E285"/>
    <hyperlink r:id="rId581" ref="F285"/>
    <hyperlink r:id="rId582" ref="N285"/>
    <hyperlink r:id="rId583" ref="P285"/>
    <hyperlink r:id="rId584" ref="E287"/>
    <hyperlink r:id="rId585" ref="N287"/>
    <hyperlink r:id="rId586" ref="E288"/>
    <hyperlink r:id="rId587" ref="N288"/>
    <hyperlink r:id="rId588" ref="N289"/>
    <hyperlink r:id="rId589" ref="N290"/>
    <hyperlink r:id="rId590" ref="N291"/>
    <hyperlink r:id="rId591" ref="N292"/>
    <hyperlink r:id="rId592" ref="N293"/>
    <hyperlink r:id="rId593" ref="N294"/>
    <hyperlink r:id="rId594" ref="E295"/>
    <hyperlink r:id="rId595" ref="F295"/>
    <hyperlink r:id="rId596" ref="N295"/>
    <hyperlink r:id="rId597" ref="E296"/>
    <hyperlink r:id="rId598" ref="F296"/>
    <hyperlink r:id="rId599" ref="N296"/>
    <hyperlink r:id="rId600" ref="E297"/>
    <hyperlink r:id="rId601" ref="N297"/>
    <hyperlink r:id="rId602" ref="E298"/>
    <hyperlink r:id="rId603" ref="N298"/>
    <hyperlink r:id="rId604" ref="E299"/>
    <hyperlink r:id="rId605" ref="F299"/>
    <hyperlink r:id="rId606" ref="N299"/>
    <hyperlink r:id="rId607" ref="E300"/>
    <hyperlink r:id="rId608" ref="F300"/>
    <hyperlink r:id="rId609" ref="N300"/>
    <hyperlink r:id="rId610" ref="Q300"/>
    <hyperlink r:id="rId611" ref="N301"/>
    <hyperlink r:id="rId612" ref="N302"/>
    <hyperlink r:id="rId613" ref="P302"/>
    <hyperlink r:id="rId614" ref="N303"/>
    <hyperlink r:id="rId615" ref="N304"/>
    <hyperlink r:id="rId616" ref="E305"/>
    <hyperlink r:id="rId617" ref="F305"/>
    <hyperlink r:id="rId618" ref="N305"/>
    <hyperlink r:id="rId619" ref="P305"/>
    <hyperlink r:id="rId620" ref="E306"/>
    <hyperlink r:id="rId621" ref="N306"/>
    <hyperlink r:id="rId622" ref="E307"/>
    <hyperlink r:id="rId623" ref="F307"/>
    <hyperlink r:id="rId624" ref="N307"/>
    <hyperlink r:id="rId625" ref="N308"/>
    <hyperlink r:id="rId626" ref="N310"/>
    <hyperlink r:id="rId627" ref="N311"/>
    <hyperlink r:id="rId628" ref="N312"/>
    <hyperlink r:id="rId629" ref="N313"/>
    <hyperlink r:id="rId630" ref="N314"/>
    <hyperlink r:id="rId631" ref="E315"/>
    <hyperlink r:id="rId632" ref="F315"/>
    <hyperlink r:id="rId633" ref="N315"/>
    <hyperlink r:id="rId634" ref="E316"/>
    <hyperlink r:id="rId635" ref="F316"/>
    <hyperlink r:id="rId636" ref="N316"/>
    <hyperlink r:id="rId637" ref="N317"/>
    <hyperlink r:id="rId638" ref="N318"/>
    <hyperlink r:id="rId639" ref="E319"/>
    <hyperlink r:id="rId640" ref="F319"/>
    <hyperlink r:id="rId641" ref="N319"/>
    <hyperlink r:id="rId642" ref="P319"/>
    <hyperlink r:id="rId643" ref="E320"/>
    <hyperlink r:id="rId644" ref="N320"/>
    <hyperlink r:id="rId645" ref="F321"/>
    <hyperlink r:id="rId646" ref="N321"/>
    <hyperlink r:id="rId647" ref="P321"/>
    <hyperlink r:id="rId648" ref="N324"/>
    <hyperlink r:id="rId649" ref="N325"/>
    <hyperlink r:id="rId650" ref="E326"/>
    <hyperlink r:id="rId651" ref="F326"/>
    <hyperlink r:id="rId652" ref="N326"/>
    <hyperlink r:id="rId653" ref="E328"/>
    <hyperlink r:id="rId654" ref="F328"/>
    <hyperlink r:id="rId655" ref="N328"/>
    <hyperlink r:id="rId656" ref="P328"/>
    <hyperlink r:id="rId657" ref="N329"/>
    <hyperlink r:id="rId658" ref="N330"/>
    <hyperlink r:id="rId659" ref="N331"/>
    <hyperlink r:id="rId660" ref="N332"/>
    <hyperlink r:id="rId661" ref="N333"/>
    <hyperlink r:id="rId662" ref="N334"/>
    <hyperlink r:id="rId663" ref="N335"/>
    <hyperlink r:id="rId664" ref="N337"/>
    <hyperlink r:id="rId665" ref="N338"/>
    <hyperlink r:id="rId666" ref="E339"/>
    <hyperlink r:id="rId667" ref="F339"/>
    <hyperlink r:id="rId668" ref="N339"/>
    <hyperlink r:id="rId669" ref="E340"/>
    <hyperlink r:id="rId670" ref="F340"/>
    <hyperlink r:id="rId671" ref="N340"/>
    <hyperlink r:id="rId672" ref="E341"/>
    <hyperlink r:id="rId673" ref="N341"/>
    <hyperlink r:id="rId674" ref="E342"/>
    <hyperlink r:id="rId675" ref="F342"/>
    <hyperlink r:id="rId676" ref="N342"/>
    <hyperlink r:id="rId677" ref="N343"/>
    <hyperlink r:id="rId678" ref="N344"/>
    <hyperlink r:id="rId679" ref="N345"/>
    <hyperlink r:id="rId680" ref="N346"/>
    <hyperlink r:id="rId681" ref="N347"/>
    <hyperlink r:id="rId682" ref="N348"/>
    <hyperlink r:id="rId683" ref="N349"/>
    <hyperlink r:id="rId684" ref="N350"/>
    <hyperlink r:id="rId685" ref="E351"/>
    <hyperlink r:id="rId686" ref="F351"/>
    <hyperlink r:id="rId687" ref="N352"/>
  </hyperlinks>
  <drawing r:id="rId68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5"/>
    <col customWidth="1" min="3" max="3" width="63.75"/>
    <col customWidth="1" min="4" max="6" width="30.5"/>
    <col customWidth="1" min="7" max="7" width="12.63"/>
    <col customWidth="1" min="8" max="8" width="16.75"/>
    <col customWidth="1" min="10" max="13" width="16.75"/>
    <col customWidth="1" min="14" max="14" width="11.5"/>
    <col customWidth="1" min="21" max="21" width="0.38"/>
  </cols>
  <sheetData>
    <row r="1" ht="15.75" customHeight="1">
      <c r="A1" s="48"/>
      <c r="B1" s="163" t="s">
        <v>1128</v>
      </c>
      <c r="J1" s="84"/>
      <c r="K1" s="48"/>
      <c r="L1" s="164"/>
      <c r="M1" s="48"/>
      <c r="N1" s="48"/>
      <c r="O1" s="48"/>
      <c r="P1" s="165"/>
      <c r="Q1" s="48"/>
      <c r="R1" s="48"/>
      <c r="S1" s="48"/>
      <c r="T1" s="48"/>
      <c r="U1" s="166" t="s">
        <v>1129</v>
      </c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</row>
    <row r="2" ht="15.75" customHeight="1">
      <c r="A2" s="167"/>
      <c r="B2" s="167"/>
      <c r="C2" s="167"/>
      <c r="D2" s="167"/>
      <c r="E2" s="168"/>
      <c r="F2" s="169"/>
      <c r="G2" s="169"/>
      <c r="H2" s="167"/>
      <c r="I2" s="169" t="s">
        <v>106</v>
      </c>
      <c r="J2" s="170"/>
      <c r="K2" s="171"/>
      <c r="L2" s="170"/>
      <c r="M2" s="172" t="s">
        <v>16</v>
      </c>
      <c r="N2" s="173"/>
      <c r="O2" s="173"/>
      <c r="P2" s="173"/>
      <c r="Q2" s="174"/>
      <c r="R2" s="175" t="s">
        <v>109</v>
      </c>
      <c r="S2" s="169" t="s">
        <v>112</v>
      </c>
      <c r="T2" s="176" t="s">
        <v>112</v>
      </c>
      <c r="U2" s="177" t="s">
        <v>1130</v>
      </c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</row>
    <row r="3" ht="15.75" customHeight="1">
      <c r="A3" s="178" t="s">
        <v>18</v>
      </c>
      <c r="B3" s="178" t="s">
        <v>103</v>
      </c>
      <c r="C3" s="178" t="s">
        <v>3</v>
      </c>
      <c r="D3" s="179" t="s">
        <v>7</v>
      </c>
      <c r="E3" s="179" t="s">
        <v>104</v>
      </c>
      <c r="F3" s="178" t="s">
        <v>4</v>
      </c>
      <c r="G3" s="179" t="s">
        <v>1131</v>
      </c>
      <c r="H3" s="178" t="s">
        <v>6</v>
      </c>
      <c r="I3" s="178" t="s">
        <v>1132</v>
      </c>
      <c r="J3" s="180" t="s">
        <v>107</v>
      </c>
      <c r="K3" s="181" t="s">
        <v>108</v>
      </c>
      <c r="L3" s="180" t="s">
        <v>109</v>
      </c>
      <c r="M3" s="182" t="s">
        <v>7</v>
      </c>
      <c r="N3" s="183" t="s">
        <v>1133</v>
      </c>
      <c r="O3" s="184" t="s">
        <v>1132</v>
      </c>
      <c r="P3" s="185" t="s">
        <v>7</v>
      </c>
      <c r="Q3" s="186" t="s">
        <v>1134</v>
      </c>
      <c r="R3" s="187" t="s">
        <v>1135</v>
      </c>
      <c r="S3" s="188"/>
      <c r="T3" s="189"/>
      <c r="U3" s="179" t="s">
        <v>1136</v>
      </c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</row>
    <row r="4" ht="15.75" hidden="1" customHeight="1">
      <c r="A4" s="190" t="str">
        <f>PURCHASES!A4</f>
        <v/>
      </c>
      <c r="B4" s="60" t="str">
        <f>IFERROR(__xludf.DUMMYFUNCTION("QUERY(PURCHASES!B4:L253)"),"Tokopedia")</f>
        <v>Tokopedia</v>
      </c>
      <c r="C4" s="60" t="str">
        <f>IFERROR(__xludf.DUMMYFUNCTION("""COMPUTED_VALUE"""),"Pembelian Termometer PKM Balekambang")</f>
        <v>Pembelian Termometer PKM Balekambang</v>
      </c>
      <c r="D4" s="60"/>
      <c r="E4" s="191"/>
      <c r="F4" s="61"/>
      <c r="G4" s="62">
        <f>IFERROR(__xludf.DUMMYFUNCTION("""COMPUTED_VALUE"""),45816.0)</f>
        <v>45816</v>
      </c>
      <c r="H4" s="60"/>
      <c r="I4" s="81">
        <f>IFERROR(__xludf.DUMMYFUNCTION("""COMPUTED_VALUE"""),705700.0)</f>
        <v>705700</v>
      </c>
      <c r="J4" s="192"/>
      <c r="K4" s="193"/>
      <c r="L4" s="194">
        <f>IFERROR(__xludf.DUMMYFUNCTION("""COMPUTED_VALUE"""),705700.0)</f>
        <v>705700</v>
      </c>
      <c r="M4" s="195" t="s">
        <v>1137</v>
      </c>
      <c r="N4" s="195" t="s">
        <v>1138</v>
      </c>
      <c r="O4" s="196">
        <v>705700.0</v>
      </c>
      <c r="P4" s="197" t="s">
        <v>1139</v>
      </c>
      <c r="Q4" s="198"/>
      <c r="R4" s="199">
        <f t="shared" ref="R4:R21" si="1">L4-O4</f>
        <v>0</v>
      </c>
      <c r="S4" s="200" t="str">
        <f>IF(#REF!&gt;0,"ost","-")</f>
        <v>#REF!</v>
      </c>
      <c r="T4" s="201" t="s">
        <v>508</v>
      </c>
      <c r="U4" s="67" t="s">
        <v>115</v>
      </c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</row>
    <row r="5" ht="15.75" hidden="1" customHeight="1">
      <c r="A5" s="190"/>
      <c r="B5" s="60" t="str">
        <f>IFERROR(__xludf.DUMMYFUNCTION("""COMPUTED_VALUE"""),"Shopee")</f>
        <v>Shopee</v>
      </c>
      <c r="C5" s="60" t="str">
        <f>IFERROR(__xludf.DUMMYFUNCTION("""COMPUTED_VALUE"""),"Pembelian Kursi, Meja dan Lemari PKM Gandoang ")</f>
        <v>Pembelian Kursi, Meja dan Lemari PKM Gandoang </v>
      </c>
      <c r="D5" s="60"/>
      <c r="E5" s="191"/>
      <c r="F5" s="61"/>
      <c r="G5" s="62">
        <f>IFERROR(__xludf.DUMMYFUNCTION("""COMPUTED_VALUE"""),45882.0)</f>
        <v>45882</v>
      </c>
      <c r="H5" s="60"/>
      <c r="I5" s="81">
        <f>IFERROR(__xludf.DUMMYFUNCTION("""COMPUTED_VALUE"""),1.13816E7)</f>
        <v>11381600</v>
      </c>
      <c r="J5" s="192"/>
      <c r="K5" s="194"/>
      <c r="L5" s="194">
        <f>IFERROR(__xludf.DUMMYFUNCTION("""COMPUTED_VALUE"""),1.13816E7)</f>
        <v>11381600</v>
      </c>
      <c r="M5" s="195" t="s">
        <v>1137</v>
      </c>
      <c r="N5" s="195" t="s">
        <v>1138</v>
      </c>
      <c r="O5" s="196">
        <v>1.13816E7</v>
      </c>
      <c r="P5" s="197" t="s">
        <v>1137</v>
      </c>
      <c r="Q5" s="198"/>
      <c r="R5" s="199">
        <f t="shared" si="1"/>
        <v>0</v>
      </c>
      <c r="S5" s="200" t="str">
        <f t="shared" ref="S5:S21" si="2">IF(R5&gt;0,"ost","-")</f>
        <v>-</v>
      </c>
      <c r="T5" s="201" t="s">
        <v>508</v>
      </c>
      <c r="U5" s="69" t="s">
        <v>119</v>
      </c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</row>
    <row r="6" ht="15.75" hidden="1" customHeight="1">
      <c r="A6" s="190" t="str">
        <f>PURCHASES!A6</f>
        <v/>
      </c>
      <c r="B6" s="60" t="str">
        <f>IFERROR(__xludf.DUMMYFUNCTION("""COMPUTED_VALUE"""),"Shopee")</f>
        <v>Shopee</v>
      </c>
      <c r="C6" s="60" t="str">
        <f>IFERROR(__xludf.DUMMYFUNCTION("""COMPUTED_VALUE"""),"Pembelian Composit Resin, Umblical, Bonding, Gludaten, Bisturi PKM DPT Saketi")</f>
        <v>Pembelian Composit Resin, Umblical, Bonding, Gludaten, Bisturi PKM DPT Saketi</v>
      </c>
      <c r="D6" s="60"/>
      <c r="E6" s="120" t="str">
        <f>IFERROR(__xludf.DUMMYFUNCTION("""COMPUTED_VALUE"""),"SURAT PESANAN PKM DPT SAKETI.jpeg")</f>
        <v>SURAT PESANAN PKM DPT SAKETI.jpeg</v>
      </c>
      <c r="F6" s="61"/>
      <c r="G6" s="62">
        <f>IFERROR(__xludf.DUMMYFUNCTION("""COMPUTED_VALUE"""),45882.0)</f>
        <v>45882</v>
      </c>
      <c r="H6" s="60"/>
      <c r="I6" s="202">
        <f>IFERROR(__xludf.DUMMYFUNCTION("""COMPUTED_VALUE"""),2654410.0)</f>
        <v>2654410</v>
      </c>
      <c r="J6" s="203"/>
      <c r="K6" s="204"/>
      <c r="L6" s="204">
        <f>IFERROR(__xludf.DUMMYFUNCTION("""COMPUTED_VALUE"""),2654410.0)</f>
        <v>2654410</v>
      </c>
      <c r="M6" s="205" t="s">
        <v>1137</v>
      </c>
      <c r="N6" s="205" t="s">
        <v>1138</v>
      </c>
      <c r="O6" s="196">
        <v>2654410.0</v>
      </c>
      <c r="P6" s="197" t="s">
        <v>1137</v>
      </c>
      <c r="Q6" s="199"/>
      <c r="R6" s="199">
        <f t="shared" si="1"/>
        <v>0</v>
      </c>
      <c r="S6" s="200" t="str">
        <f t="shared" si="2"/>
        <v>-</v>
      </c>
      <c r="T6" s="201" t="s">
        <v>508</v>
      </c>
      <c r="U6" s="69" t="s">
        <v>1140</v>
      </c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</row>
    <row r="7" ht="15.75" hidden="1" customHeight="1">
      <c r="A7" s="190" t="str">
        <f>PURCHASES!A7</f>
        <v/>
      </c>
      <c r="B7" s="190" t="str">
        <f>IFERROR(__xludf.DUMMYFUNCTION("""COMPUTED_VALUE"""),"PT. Top Point Medical")</f>
        <v>PT. Top Point Medical</v>
      </c>
      <c r="C7" s="60" t="str">
        <f>IFERROR(__xludf.DUMMYFUNCTION("""COMPUTED_VALUE"""),"TP Infusion Set Advance")</f>
        <v>TP Infusion Set Advance</v>
      </c>
      <c r="D7" s="60"/>
      <c r="E7" s="120" t="str">
        <f>IFERROR(__xludf.DUMMYFUNCTION("""COMPUTED_VALUE"""),"Surat Pesanan RSPP")</f>
        <v>Surat Pesanan RSPP</v>
      </c>
      <c r="F7" s="70" t="str">
        <f>IFERROR(__xludf.DUMMYFUNCTION("""COMPUTED_VALUE"""),"PO Infusion Set - Top Point")</f>
        <v>PO Infusion Set - Top Point</v>
      </c>
      <c r="G7" s="62">
        <f>IFERROR(__xludf.DUMMYFUNCTION("""COMPUTED_VALUE"""),45880.0)</f>
        <v>45880</v>
      </c>
      <c r="H7" s="60"/>
      <c r="I7" s="81">
        <f>IFERROR(__xludf.DUMMYFUNCTION("""COMPUTED_VALUE"""),3040541.0)</f>
        <v>3040541</v>
      </c>
      <c r="J7" s="203">
        <f>IFERROR(__xludf.DUMMYFUNCTION("""COMPUTED_VALUE"""),334459.51)</f>
        <v>334459.51</v>
      </c>
      <c r="K7" s="204"/>
      <c r="L7" s="204">
        <f>IFERROR(__xludf.DUMMYFUNCTION("""COMPUTED_VALUE"""),3375000.51)</f>
        <v>3375000.51</v>
      </c>
      <c r="M7" s="205" t="s">
        <v>1137</v>
      </c>
      <c r="N7" s="205" t="s">
        <v>1138</v>
      </c>
      <c r="O7" s="196">
        <v>3375000.0</v>
      </c>
      <c r="P7" s="197" t="s">
        <v>1137</v>
      </c>
      <c r="Q7" s="199"/>
      <c r="R7" s="199">
        <f t="shared" si="1"/>
        <v>0.5099999998</v>
      </c>
      <c r="S7" s="200" t="str">
        <f t="shared" si="2"/>
        <v>ost</v>
      </c>
      <c r="T7" s="201" t="s">
        <v>508</v>
      </c>
      <c r="U7" s="206" t="s">
        <v>1141</v>
      </c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</row>
    <row r="8" ht="15.75" hidden="1" customHeight="1">
      <c r="A8" s="190" t="str">
        <f>PURCHASES!A8</f>
        <v/>
      </c>
      <c r="B8" s="190" t="str">
        <f>IFERROR(__xludf.DUMMYFUNCTION("""COMPUTED_VALUE"""),"Shopee")</f>
        <v>Shopee</v>
      </c>
      <c r="C8" s="60" t="str">
        <f>IFERROR(__xludf.DUMMYFUNCTION("""COMPUTED_VALUE"""),"Pembelian Gludenta DPT Saketi")</f>
        <v>Pembelian Gludenta DPT Saketi</v>
      </c>
      <c r="D8" s="60"/>
      <c r="E8" s="191" t="str">
        <f>IFERROR(__xludf.DUMMYFUNCTION("""COMPUTED_VALUE"""),"part of SO no.3")</f>
        <v>part of SO no.3</v>
      </c>
      <c r="F8" s="61"/>
      <c r="G8" s="62">
        <f>IFERROR(__xludf.DUMMYFUNCTION("""COMPUTED_VALUE"""),45882.0)</f>
        <v>45882</v>
      </c>
      <c r="H8" s="60"/>
      <c r="I8" s="202">
        <f>IFERROR(__xludf.DUMMYFUNCTION("""COMPUTED_VALUE"""),1408256.0)</f>
        <v>1408256</v>
      </c>
      <c r="J8" s="203"/>
      <c r="K8" s="204"/>
      <c r="L8" s="204">
        <f>IFERROR(__xludf.DUMMYFUNCTION("""COMPUTED_VALUE"""),1408256.0)</f>
        <v>1408256</v>
      </c>
      <c r="M8" s="205" t="s">
        <v>1137</v>
      </c>
      <c r="N8" s="205" t="s">
        <v>1138</v>
      </c>
      <c r="O8" s="196">
        <v>1408256.0</v>
      </c>
      <c r="P8" s="197" t="s">
        <v>1137</v>
      </c>
      <c r="Q8" s="199"/>
      <c r="R8" s="199">
        <f t="shared" si="1"/>
        <v>0</v>
      </c>
      <c r="S8" s="200" t="str">
        <f t="shared" si="2"/>
        <v>-</v>
      </c>
      <c r="T8" s="201" t="s">
        <v>508</v>
      </c>
      <c r="U8" s="69" t="s">
        <v>1142</v>
      </c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</row>
    <row r="9" ht="15.75" hidden="1" customHeight="1">
      <c r="A9" s="190"/>
      <c r="B9" s="190" t="str">
        <f>IFERROR(__xludf.DUMMYFUNCTION("""COMPUTED_VALUE"""),"Top Point")</f>
        <v>Top Point</v>
      </c>
      <c r="C9" s="60" t="str">
        <f>IFERROR(__xludf.DUMMYFUNCTION("""COMPUTED_VALUE"""),"Pembelian Suntikan DPT Saketi")</f>
        <v>Pembelian Suntikan DPT Saketi</v>
      </c>
      <c r="D9" s="60"/>
      <c r="E9" s="191" t="str">
        <f>IFERROR(__xludf.DUMMYFUNCTION("""COMPUTED_VALUE"""),"part of SO no.3")</f>
        <v>part of SO no.3</v>
      </c>
      <c r="F9" s="61"/>
      <c r="G9" s="62">
        <f>IFERROR(__xludf.DUMMYFUNCTION("""COMPUTED_VALUE"""),45888.0)</f>
        <v>45888</v>
      </c>
      <c r="H9" s="60"/>
      <c r="I9" s="81">
        <f>IFERROR(__xludf.DUMMYFUNCTION("""COMPUTED_VALUE"""),136554.0)</f>
        <v>136554</v>
      </c>
      <c r="J9" s="203">
        <f>IFERROR(__xludf.DUMMYFUNCTION("""COMPUTED_VALUE"""),15020.94)</f>
        <v>15020.94</v>
      </c>
      <c r="K9" s="204"/>
      <c r="L9" s="207">
        <f>IFERROR(__xludf.DUMMYFUNCTION("""COMPUTED_VALUE"""),151574.94)</f>
        <v>151574.94</v>
      </c>
      <c r="M9" s="205" t="s">
        <v>1137</v>
      </c>
      <c r="N9" s="205" t="s">
        <v>1138</v>
      </c>
      <c r="O9" s="196">
        <v>151575.0</v>
      </c>
      <c r="P9" s="197" t="s">
        <v>1137</v>
      </c>
      <c r="Q9" s="199"/>
      <c r="R9" s="199">
        <f t="shared" si="1"/>
        <v>-0.06</v>
      </c>
      <c r="S9" s="200" t="str">
        <f t="shared" si="2"/>
        <v>-</v>
      </c>
      <c r="T9" s="201" t="s">
        <v>508</v>
      </c>
      <c r="U9" s="69" t="s">
        <v>1143</v>
      </c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</row>
    <row r="10" ht="15.75" hidden="1" customHeight="1">
      <c r="A10" s="190"/>
      <c r="B10" s="190" t="str">
        <f>IFERROR(__xludf.DUMMYFUNCTION("""COMPUTED_VALUE"""),"Sarana Megamedilab Sejahtera (SMS)")</f>
        <v>Sarana Megamedilab Sejahtera (SMS)</v>
      </c>
      <c r="C10" s="60" t="str">
        <f>IFERROR(__xludf.DUMMYFUNCTION("""COMPUTED_VALUE"""),"Pembelian Lampu ")</f>
        <v>Pembelian Lampu </v>
      </c>
      <c r="D10" s="60"/>
      <c r="E10" s="191" t="str">
        <f>IFERROR(__xludf.DUMMYFUNCTION("""COMPUTED_VALUE"""),"RSUD Cibinong")</f>
        <v>RSUD Cibinong</v>
      </c>
      <c r="F10" s="61"/>
      <c r="G10" s="62">
        <f>IFERROR(__xludf.DUMMYFUNCTION("""COMPUTED_VALUE"""),45869.0)</f>
        <v>45869</v>
      </c>
      <c r="H10" s="60"/>
      <c r="I10" s="81">
        <f>IFERROR(__xludf.DUMMYFUNCTION("""COMPUTED_VALUE"""),2800000.0)</f>
        <v>2800000</v>
      </c>
      <c r="J10" s="203">
        <f>IFERROR(__xludf.DUMMYFUNCTION("""COMPUTED_VALUE"""),308000.0)</f>
        <v>308000</v>
      </c>
      <c r="K10" s="204"/>
      <c r="L10" s="204">
        <f>IFERROR(__xludf.DUMMYFUNCTION("""COMPUTED_VALUE"""),3108000.0)</f>
        <v>3108000</v>
      </c>
      <c r="M10" s="205" t="s">
        <v>1137</v>
      </c>
      <c r="N10" s="205" t="s">
        <v>1138</v>
      </c>
      <c r="O10" s="196">
        <v>3108000.0</v>
      </c>
      <c r="P10" s="197" t="s">
        <v>1137</v>
      </c>
      <c r="Q10" s="199"/>
      <c r="R10" s="199">
        <f t="shared" si="1"/>
        <v>0</v>
      </c>
      <c r="S10" s="200" t="str">
        <f t="shared" si="2"/>
        <v>-</v>
      </c>
      <c r="T10" s="201" t="s">
        <v>508</v>
      </c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</row>
    <row r="11" ht="15.75" hidden="1" customHeight="1">
      <c r="A11" s="190"/>
      <c r="B11" s="190" t="str">
        <f>IFERROR(__xludf.DUMMYFUNCTION("""COMPUTED_VALUE"""),"Shopee")</f>
        <v>Shopee</v>
      </c>
      <c r="C11" s="60" t="str">
        <f>IFERROR(__xludf.DUMMYFUNCTION("""COMPUTED_VALUE"""),"Pembelian Pesanan Plastik (PKM Cimandala)")</f>
        <v>Pembelian Pesanan Plastik (PKM Cimandala)</v>
      </c>
      <c r="D11" s="60"/>
      <c r="E11" s="191" t="str">
        <f>IFERROR(__xludf.DUMMYFUNCTION("""COMPUTED_VALUE"""),"-Menyusul-")</f>
        <v>-Menyusul-</v>
      </c>
      <c r="F11" s="61"/>
      <c r="G11" s="62">
        <f>IFERROR(__xludf.DUMMYFUNCTION("""COMPUTED_VALUE"""),45895.0)</f>
        <v>45895</v>
      </c>
      <c r="H11" s="60"/>
      <c r="I11" s="81">
        <f>IFERROR(__xludf.DUMMYFUNCTION("""COMPUTED_VALUE"""),2021100.0)</f>
        <v>2021100</v>
      </c>
      <c r="J11" s="203"/>
      <c r="K11" s="204"/>
      <c r="L11" s="204">
        <f>IFERROR(__xludf.DUMMYFUNCTION("""COMPUTED_VALUE"""),2021100.0)</f>
        <v>2021100</v>
      </c>
      <c r="M11" s="205" t="s">
        <v>1137</v>
      </c>
      <c r="N11" s="205" t="s">
        <v>1138</v>
      </c>
      <c r="O11" s="196">
        <v>2021100.0</v>
      </c>
      <c r="P11" s="197" t="s">
        <v>1137</v>
      </c>
      <c r="Q11" s="199"/>
      <c r="R11" s="199">
        <f t="shared" si="1"/>
        <v>0</v>
      </c>
      <c r="S11" s="200" t="str">
        <f t="shared" si="2"/>
        <v>-</v>
      </c>
      <c r="T11" s="201" t="s">
        <v>508</v>
      </c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</row>
    <row r="12" ht="15.75" hidden="1" customHeight="1">
      <c r="A12" s="190"/>
      <c r="B12" s="190" t="str">
        <f>IFERROR(__xludf.DUMMYFUNCTION("""COMPUTED_VALUE"""),"Shopee")</f>
        <v>Shopee</v>
      </c>
      <c r="C12" s="60" t="str">
        <f>IFERROR(__xludf.DUMMYFUNCTION("""COMPUTED_VALUE"""),"Pembelian Yellow dan Blue Tip (PKM Cangkurawok)")</f>
        <v>Pembelian Yellow dan Blue Tip (PKM Cangkurawok)</v>
      </c>
      <c r="D12" s="60"/>
      <c r="E12" s="120" t="str">
        <f>IFERROR(__xludf.DUMMYFUNCTION("""COMPUTED_VALUE"""),"surat-pesanan-EP-01K387EQ0896Y44BX6R9RSJ2FA (Pkm Cangkurawok)")</f>
        <v>surat-pesanan-EP-01K387EQ0896Y44BX6R9RSJ2FA (Pkm Cangkurawok)</v>
      </c>
      <c r="F12" s="61"/>
      <c r="G12" s="62">
        <f>IFERROR(__xludf.DUMMYFUNCTION("""COMPUTED_VALUE"""),45895.0)</f>
        <v>45895</v>
      </c>
      <c r="H12" s="60"/>
      <c r="I12" s="81">
        <f>IFERROR(__xludf.DUMMYFUNCTION("""COMPUTED_VALUE"""),82499.0)</f>
        <v>82499</v>
      </c>
      <c r="J12" s="203"/>
      <c r="K12" s="204"/>
      <c r="L12" s="204">
        <f>IFERROR(__xludf.DUMMYFUNCTION("""COMPUTED_VALUE"""),82499.0)</f>
        <v>82499</v>
      </c>
      <c r="M12" s="205" t="s">
        <v>1137</v>
      </c>
      <c r="N12" s="205" t="s">
        <v>1138</v>
      </c>
      <c r="O12" s="196">
        <v>82499.0</v>
      </c>
      <c r="P12" s="197" t="s">
        <v>1137</v>
      </c>
      <c r="Q12" s="199"/>
      <c r="R12" s="199">
        <f t="shared" si="1"/>
        <v>0</v>
      </c>
      <c r="S12" s="200" t="str">
        <f t="shared" si="2"/>
        <v>-</v>
      </c>
      <c r="T12" s="201" t="s">
        <v>508</v>
      </c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</row>
    <row r="13" ht="15.75" hidden="1" customHeight="1">
      <c r="A13" s="190"/>
      <c r="B13" s="190" t="str">
        <f>IFERROR(__xludf.DUMMYFUNCTION("""COMPUTED_VALUE"""),"Shopee")</f>
        <v>Shopee</v>
      </c>
      <c r="C13" s="60" t="str">
        <f>IFERROR(__xludf.DUMMYFUNCTION("""COMPUTED_VALUE"""),"Pembelanjaan Pesanan  (PKM Pasir Angin)")</f>
        <v>Pembelanjaan Pesanan  (PKM Pasir Angin)</v>
      </c>
      <c r="D13" s="60"/>
      <c r="E13" s="120" t="str">
        <f>IFERROR(__xludf.DUMMYFUNCTION("""COMPUTED_VALUE"""),"surat-pesanan-EP-01K381B70E6329EG57Q86XG5DH.pdf (PKM Pasir angin) 27-08-25")</f>
        <v>surat-pesanan-EP-01K381B70E6329EG57Q86XG5DH.pdf (PKM Pasir angin) 27-08-25</v>
      </c>
      <c r="F13" s="61"/>
      <c r="G13" s="62">
        <f>IFERROR(__xludf.DUMMYFUNCTION("""COMPUTED_VALUE"""),45896.0)</f>
        <v>45896</v>
      </c>
      <c r="H13" s="60"/>
      <c r="I13" s="81">
        <f>IFERROR(__xludf.DUMMYFUNCTION("""COMPUTED_VALUE"""),1086000.0)</f>
        <v>1086000</v>
      </c>
      <c r="J13" s="203"/>
      <c r="K13" s="204"/>
      <c r="L13" s="204">
        <f>IFERROR(__xludf.DUMMYFUNCTION("""COMPUTED_VALUE"""),1086000.0)</f>
        <v>1086000</v>
      </c>
      <c r="M13" s="205" t="s">
        <v>1137</v>
      </c>
      <c r="N13" s="205" t="s">
        <v>1138</v>
      </c>
      <c r="O13" s="196">
        <v>1086000.0</v>
      </c>
      <c r="P13" s="197" t="s">
        <v>1137</v>
      </c>
      <c r="Q13" s="199"/>
      <c r="R13" s="199">
        <f t="shared" si="1"/>
        <v>0</v>
      </c>
      <c r="S13" s="200" t="str">
        <f t="shared" si="2"/>
        <v>-</v>
      </c>
      <c r="T13" s="201" t="s">
        <v>508</v>
      </c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</row>
    <row r="14" ht="15.75" hidden="1" customHeight="1">
      <c r="A14" s="190"/>
      <c r="B14" s="190" t="str">
        <f>IFERROR(__xludf.DUMMYFUNCTION("""COMPUTED_VALUE"""),"Top Point")</f>
        <v>Top Point</v>
      </c>
      <c r="C14" s="60" t="str">
        <f>IFERROR(__xludf.DUMMYFUNCTION("""COMPUTED_VALUE"""),"Pembelian TP Infusion Set Advance (RSPP)")</f>
        <v>Pembelian TP Infusion Set Advance (RSPP)</v>
      </c>
      <c r="D14" s="60"/>
      <c r="E14" s="120" t="str">
        <f>IFERROR(__xludf.DUMMYFUNCTION("""COMPUTED_VALUE"""),"Surat Pesanan RSPP PO 2 (20-08-25)")</f>
        <v>Surat Pesanan RSPP PO 2 (20-08-25)</v>
      </c>
      <c r="F14" s="70" t="str">
        <f>IFERROR(__xludf.DUMMYFUNCTION("""COMPUTED_VALUE"""),"PO ke Top Point (20-08-25)")</f>
        <v>PO ke Top Point (20-08-25)</v>
      </c>
      <c r="G14" s="62">
        <f>IFERROR(__xludf.DUMMYFUNCTION("""COMPUTED_VALUE"""),45890.0)</f>
        <v>45890</v>
      </c>
      <c r="H14" s="60"/>
      <c r="I14" s="81">
        <f>IFERROR(__xludf.DUMMYFUNCTION("""COMPUTED_VALUE"""),3040541.0)</f>
        <v>3040541</v>
      </c>
      <c r="J14" s="203">
        <f>IFERROR(__xludf.DUMMYFUNCTION("""COMPUTED_VALUE"""),334459.0)</f>
        <v>334459</v>
      </c>
      <c r="K14" s="204"/>
      <c r="L14" s="204">
        <f>IFERROR(__xludf.DUMMYFUNCTION("""COMPUTED_VALUE"""),3375000.0)</f>
        <v>3375000</v>
      </c>
      <c r="M14" s="205" t="s">
        <v>1137</v>
      </c>
      <c r="N14" s="205" t="s">
        <v>1138</v>
      </c>
      <c r="O14" s="208">
        <v>3375000.0</v>
      </c>
      <c r="P14" s="197" t="s">
        <v>1137</v>
      </c>
      <c r="Q14" s="199"/>
      <c r="R14" s="199">
        <f t="shared" si="1"/>
        <v>0</v>
      </c>
      <c r="S14" s="200" t="str">
        <f t="shared" si="2"/>
        <v>-</v>
      </c>
      <c r="T14" s="201" t="s">
        <v>508</v>
      </c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</row>
    <row r="15" ht="15.75" hidden="1" customHeight="1">
      <c r="A15" s="190"/>
      <c r="B15" s="190" t="str">
        <f>IFERROR(__xludf.DUMMYFUNCTION("""COMPUTED_VALUE"""),"PT Demaz Noer Abadi")</f>
        <v>PT Demaz Noer Abadi</v>
      </c>
      <c r="C15" s="60" t="str">
        <f>IFERROR(__xludf.DUMMYFUNCTION("""COMPUTED_VALUE"""),"Pembelian Pesanan (PKM Karyamekar) Test Strip")</f>
        <v>Pembelian Pesanan (PKM Karyamekar) Test Strip</v>
      </c>
      <c r="D15" s="60"/>
      <c r="E15" s="120" t="str">
        <f>IFERROR(__xludf.DUMMYFUNCTION("""COMPUTED_VALUE"""),"Pesanan PKM Karya Mekar (28-08-25)")</f>
        <v>Pesanan PKM Karya Mekar (28-08-25)</v>
      </c>
      <c r="F15" s="70" t="str">
        <f>IFERROR(__xludf.DUMMYFUNCTION("""COMPUTED_VALUE"""),"PO MPG-270825008 Biosensor.pdf")</f>
        <v>PO MPG-270825008 Biosensor.pdf</v>
      </c>
      <c r="G15" s="62">
        <f>IFERROR(__xludf.DUMMYFUNCTION("""COMPUTED_VALUE"""),45897.0)</f>
        <v>45897</v>
      </c>
      <c r="H15" s="60"/>
      <c r="I15" s="81">
        <f>IFERROR(__xludf.DUMMYFUNCTION("""COMPUTED_VALUE"""),700000.0)</f>
        <v>700000</v>
      </c>
      <c r="J15" s="203">
        <f>IFERROR(__xludf.DUMMYFUNCTION("""COMPUTED_VALUE"""),77000.0)</f>
        <v>77000</v>
      </c>
      <c r="K15" s="204"/>
      <c r="L15" s="204">
        <f>IFERROR(__xludf.DUMMYFUNCTION("""COMPUTED_VALUE"""),777000.0)</f>
        <v>777000</v>
      </c>
      <c r="M15" s="205" t="s">
        <v>1137</v>
      </c>
      <c r="N15" s="205" t="s">
        <v>1138</v>
      </c>
      <c r="O15" s="196">
        <v>777000.0</v>
      </c>
      <c r="P15" s="197" t="s">
        <v>1137</v>
      </c>
      <c r="Q15" s="199"/>
      <c r="R15" s="199">
        <f t="shared" si="1"/>
        <v>0</v>
      </c>
      <c r="S15" s="200" t="str">
        <f t="shared" si="2"/>
        <v>-</v>
      </c>
      <c r="T15" s="201" t="s">
        <v>508</v>
      </c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</row>
    <row r="16" ht="15.75" hidden="1" customHeight="1">
      <c r="A16" s="190"/>
      <c r="B16" s="190" t="str">
        <f>IFERROR(__xludf.DUMMYFUNCTION("""COMPUTED_VALUE"""),"PT. Elba Lab Medika")</f>
        <v>PT. Elba Lab Medika</v>
      </c>
      <c r="C16" s="60" t="str">
        <f>IFERROR(__xludf.DUMMYFUNCTION("""COMPUTED_VALUE"""),"Pembelian Pesanan (PKM Ciawi ) Uric acid dan Glucose")</f>
        <v>Pembelian Pesanan (PKM Ciawi ) Uric acid dan Glucose</v>
      </c>
      <c r="D16" s="60"/>
      <c r="E16" s="120" t="str">
        <f>IFERROR(__xludf.DUMMYFUNCTION("""COMPUTED_VALUE"""),"surat-pesanan-EP-01K3Q5WHEXQ3VZNQBKWARSAMDH Pkm Ciawi Erba.pdf")</f>
        <v>surat-pesanan-EP-01K3Q5WHEXQ3VZNQBKWARSAMDH Pkm Ciawi Erba.pdf</v>
      </c>
      <c r="F16" s="70" t="str">
        <f>IFERROR(__xludf.DUMMYFUNCTION("""COMPUTED_VALUE"""),"PO MPG-270825006 Elba Medika Revisi.pdf")</f>
        <v>PO MPG-270825006 Elba Medika Revisi.pdf</v>
      </c>
      <c r="G16" s="62">
        <f>IFERROR(__xludf.DUMMYFUNCTION("""COMPUTED_VALUE"""),45896.0)</f>
        <v>45896</v>
      </c>
      <c r="H16" s="60"/>
      <c r="I16" s="81">
        <f>IFERROR(__xludf.DUMMYFUNCTION("""COMPUTED_VALUE"""),6088810.0)</f>
        <v>6088810</v>
      </c>
      <c r="J16" s="203">
        <f>IFERROR(__xludf.DUMMYFUNCTION("""COMPUTED_VALUE"""),669769.0)</f>
        <v>669769</v>
      </c>
      <c r="K16" s="204"/>
      <c r="L16" s="204">
        <f>IFERROR(__xludf.DUMMYFUNCTION("""COMPUTED_VALUE"""),6758579.0)</f>
        <v>6758579</v>
      </c>
      <c r="M16" s="205" t="s">
        <v>1137</v>
      </c>
      <c r="N16" s="205" t="s">
        <v>1138</v>
      </c>
      <c r="O16" s="208">
        <v>6758579.0</v>
      </c>
      <c r="P16" s="197" t="s">
        <v>1137</v>
      </c>
      <c r="Q16" s="199"/>
      <c r="R16" s="199">
        <f t="shared" si="1"/>
        <v>0</v>
      </c>
      <c r="S16" s="200" t="str">
        <f t="shared" si="2"/>
        <v>-</v>
      </c>
      <c r="T16" s="201" t="s">
        <v>508</v>
      </c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</row>
    <row r="17" ht="15.75" hidden="1" customHeight="1">
      <c r="A17" s="190"/>
      <c r="B17" s="190" t="str">
        <f>IFERROR(__xludf.DUMMYFUNCTION("""COMPUTED_VALUE"""),"Shopee")</f>
        <v>Shopee</v>
      </c>
      <c r="C17" s="60" t="str">
        <f>IFERROR(__xludf.DUMMYFUNCTION("""COMPUTED_VALUE"""),"Pembelian Pesanan (PKM Karyamekar) Alcohol swab, blue dan yellow tip")</f>
        <v>Pembelian Pesanan (PKM Karyamekar) Alcohol swab, blue dan yellow tip</v>
      </c>
      <c r="D17" s="60"/>
      <c r="E17" s="191" t="str">
        <f>IFERROR(__xludf.DUMMYFUNCTION("""COMPUTED_VALUE"""),"part of SO no.15")</f>
        <v>part of SO no.15</v>
      </c>
      <c r="F17" s="61"/>
      <c r="G17" s="62">
        <f>IFERROR(__xludf.DUMMYFUNCTION("""COMPUTED_VALUE"""),45896.0)</f>
        <v>45896</v>
      </c>
      <c r="H17" s="60"/>
      <c r="I17" s="81">
        <f>IFERROR(__xludf.DUMMYFUNCTION("""COMPUTED_VALUE"""),206508.0)</f>
        <v>206508</v>
      </c>
      <c r="J17" s="209"/>
      <c r="K17" s="210"/>
      <c r="L17" s="210">
        <f>IFERROR(__xludf.DUMMYFUNCTION("""COMPUTED_VALUE"""),206508.0)</f>
        <v>206508</v>
      </c>
      <c r="M17" s="211" t="s">
        <v>1137</v>
      </c>
      <c r="N17" s="205" t="s">
        <v>1138</v>
      </c>
      <c r="O17" s="196">
        <v>206508.0</v>
      </c>
      <c r="P17" s="197" t="s">
        <v>1137</v>
      </c>
      <c r="Q17" s="199"/>
      <c r="R17" s="199">
        <f t="shared" si="1"/>
        <v>0</v>
      </c>
      <c r="S17" s="200" t="str">
        <f t="shared" si="2"/>
        <v>-</v>
      </c>
      <c r="T17" s="201" t="s">
        <v>508</v>
      </c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</row>
    <row r="18" ht="15.75" hidden="1" customHeight="1">
      <c r="A18" s="190"/>
      <c r="B18" s="190" t="str">
        <f>IFERROR(__xludf.DUMMYFUNCTION("""COMPUTED_VALUE"""),"Shopee ")</f>
        <v>Shopee </v>
      </c>
      <c r="C18" s="60" t="str">
        <f>IFERROR(__xludf.DUMMYFUNCTION("""COMPUTED_VALUE"""),"Pembelian Pesanan (PKM Pasir Angin) Apar 3kg")</f>
        <v>Pembelian Pesanan (PKM Pasir Angin) Apar 3kg</v>
      </c>
      <c r="D18" s="60"/>
      <c r="E18" s="120" t="str">
        <f>IFERROR(__xludf.DUMMYFUNCTION("""COMPUTED_VALUE"""),"surat-pesanan-EP-01K3T38R3TQ03RS3GZPYQRVWJ9 PKM Pasir Angin (Apar)")</f>
        <v>surat-pesanan-EP-01K3T38R3TQ03RS3GZPYQRVWJ9 PKM Pasir Angin (Apar)</v>
      </c>
      <c r="F18" s="61"/>
      <c r="G18" s="62">
        <f>IFERROR(__xludf.DUMMYFUNCTION("""COMPUTED_VALUE"""),45898.0)</f>
        <v>45898</v>
      </c>
      <c r="H18" s="60"/>
      <c r="I18" s="81">
        <f>IFERROR(__xludf.DUMMYFUNCTION("""COMPUTED_VALUE"""),541000.0)</f>
        <v>541000</v>
      </c>
      <c r="J18" s="212"/>
      <c r="K18" s="213"/>
      <c r="L18" s="214">
        <f>IFERROR(__xludf.DUMMYFUNCTION("""COMPUTED_VALUE"""),541000.0)</f>
        <v>541000</v>
      </c>
      <c r="M18" s="213">
        <v>45901.0</v>
      </c>
      <c r="N18" s="205" t="s">
        <v>1138</v>
      </c>
      <c r="O18" s="196">
        <v>541000.0</v>
      </c>
      <c r="P18" s="215">
        <v>45901.0</v>
      </c>
      <c r="Q18" s="199"/>
      <c r="R18" s="199">
        <f t="shared" si="1"/>
        <v>0</v>
      </c>
      <c r="S18" s="200" t="str">
        <f t="shared" si="2"/>
        <v>-</v>
      </c>
      <c r="T18" s="201" t="s">
        <v>508</v>
      </c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</row>
    <row r="19" ht="15.75" hidden="1" customHeight="1">
      <c r="A19" s="190"/>
      <c r="B19" s="190" t="str">
        <f>IFERROR(__xludf.DUMMYFUNCTION("""COMPUTED_VALUE"""),"PT. Burhan Sejahtera Mulia")</f>
        <v>PT. Burhan Sejahtera Mulia</v>
      </c>
      <c r="C19" s="60" t="str">
        <f>IFERROR(__xludf.DUMMYFUNCTION("""COMPUTED_VALUE"""),"Pembelian Pesanan (PKM Karyamekar) Vacum Tube Plain")</f>
        <v>Pembelian Pesanan (PKM Karyamekar) Vacum Tube Plain</v>
      </c>
      <c r="D19" s="60"/>
      <c r="E19" s="191" t="str">
        <f>IFERROR(__xludf.DUMMYFUNCTION("""COMPUTED_VALUE"""),"Patt of SO np.15")</f>
        <v>Patt of SO np.15</v>
      </c>
      <c r="F19" s="70" t="str">
        <f>IFERROR(__xludf.DUMMYFUNCTION("""COMPUTED_VALUE"""),"PO ke PT. BSM (vacum tube)")</f>
        <v>PO ke PT. BSM (vacum tube)</v>
      </c>
      <c r="G19" s="62">
        <f>IFERROR(__xludf.DUMMYFUNCTION("""COMPUTED_VALUE"""),45898.0)</f>
        <v>45898</v>
      </c>
      <c r="H19" s="60"/>
      <c r="I19" s="81">
        <f>IFERROR(__xludf.DUMMYFUNCTION("""COMPUTED_VALUE"""),425000.0)</f>
        <v>425000</v>
      </c>
      <c r="J19" s="212">
        <f>IFERROR(__xludf.DUMMYFUNCTION("""COMPUTED_VALUE"""),46750.0)</f>
        <v>46750</v>
      </c>
      <c r="K19" s="213"/>
      <c r="L19" s="214">
        <f>IFERROR(__xludf.DUMMYFUNCTION("""COMPUTED_VALUE"""),471750.0)</f>
        <v>471750</v>
      </c>
      <c r="M19" s="213">
        <v>45901.0</v>
      </c>
      <c r="N19" s="205" t="s">
        <v>1138</v>
      </c>
      <c r="O19" s="196">
        <v>471750.0</v>
      </c>
      <c r="P19" s="215">
        <v>45901.0</v>
      </c>
      <c r="Q19" s="199"/>
      <c r="R19" s="199">
        <f t="shared" si="1"/>
        <v>0</v>
      </c>
      <c r="S19" s="200" t="str">
        <f t="shared" si="2"/>
        <v>-</v>
      </c>
      <c r="T19" s="201" t="s">
        <v>508</v>
      </c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r="20" ht="15.75" hidden="1" customHeight="1">
      <c r="A20" s="190"/>
      <c r="B20" s="190" t="str">
        <f>IFERROR(__xludf.DUMMYFUNCTION("""COMPUTED_VALUE"""),"Shopee")</f>
        <v>Shopee</v>
      </c>
      <c r="C20" s="60" t="str">
        <f>IFERROR(__xludf.DUMMYFUNCTION("""COMPUTED_VALUE"""),"Pembelian Pesanan (PKM Bojong) cover glass dan bisturi")</f>
        <v>Pembelian Pesanan (PKM Bojong) cover glass dan bisturi</v>
      </c>
      <c r="D20" s="60"/>
      <c r="E20" s="120" t="str">
        <f>IFERROR(__xludf.DUMMYFUNCTION("""COMPUTED_VALUE"""),"Surat Pesanan PKM Bojong (3 Sep 2025)")</f>
        <v>Surat Pesanan PKM Bojong (3 Sep 2025)</v>
      </c>
      <c r="F20" s="61"/>
      <c r="G20" s="62">
        <f>IFERROR(__xludf.DUMMYFUNCTION("""COMPUTED_VALUE"""),45903.0)</f>
        <v>45903</v>
      </c>
      <c r="H20" s="60"/>
      <c r="I20" s="81">
        <f>IFERROR(__xludf.DUMMYFUNCTION("""COMPUTED_VALUE"""),96580.0)</f>
        <v>96580</v>
      </c>
      <c r="J20" s="203"/>
      <c r="K20" s="216"/>
      <c r="L20" s="204">
        <f>IFERROR(__xludf.DUMMYFUNCTION("""COMPUTED_VALUE"""),96580.0)</f>
        <v>96580</v>
      </c>
      <c r="M20" s="216">
        <v>45903.0</v>
      </c>
      <c r="N20" s="205" t="s">
        <v>1138</v>
      </c>
      <c r="O20" s="196">
        <v>96580.0</v>
      </c>
      <c r="P20" s="215">
        <v>45903.0</v>
      </c>
      <c r="Q20" s="199"/>
      <c r="R20" s="199">
        <f t="shared" si="1"/>
        <v>0</v>
      </c>
      <c r="S20" s="200" t="str">
        <f t="shared" si="2"/>
        <v>-</v>
      </c>
      <c r="T20" s="201" t="s">
        <v>508</v>
      </c>
      <c r="U20" s="69" t="s">
        <v>1144</v>
      </c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 ht="15.75" hidden="1" customHeight="1">
      <c r="A21" s="190"/>
      <c r="B21" s="190" t="str">
        <f>IFERROR(__xludf.DUMMYFUNCTION("""COMPUTED_VALUE"""),"Shopee")</f>
        <v>Shopee</v>
      </c>
      <c r="C21" s="60" t="str">
        <f>IFERROR(__xludf.DUMMYFUNCTION("""COMPUTED_VALUE"""),"Pembelian Pesanan (PKM Bojong) kassa steril")</f>
        <v>Pembelian Pesanan (PKM Bojong) kassa steril</v>
      </c>
      <c r="D21" s="60"/>
      <c r="E21" s="120" t="str">
        <f>IFERROR(__xludf.DUMMYFUNCTION("""COMPUTED_VALUE"""),"Surat Pesanan PKM Bojong (3 Sep 2025)")</f>
        <v>Surat Pesanan PKM Bojong (3 Sep 2025)</v>
      </c>
      <c r="F21" s="61"/>
      <c r="G21" s="62">
        <f>IFERROR(__xludf.DUMMYFUNCTION("""COMPUTED_VALUE"""),45903.0)</f>
        <v>45903</v>
      </c>
      <c r="H21" s="60"/>
      <c r="I21" s="81">
        <f>IFERROR(__xludf.DUMMYFUNCTION("""COMPUTED_VALUE"""),402500.0)</f>
        <v>402500</v>
      </c>
      <c r="J21" s="203"/>
      <c r="K21" s="216"/>
      <c r="L21" s="204">
        <f>IFERROR(__xludf.DUMMYFUNCTION("""COMPUTED_VALUE"""),402500.0)</f>
        <v>402500</v>
      </c>
      <c r="M21" s="216">
        <v>45903.0</v>
      </c>
      <c r="N21" s="205" t="s">
        <v>1138</v>
      </c>
      <c r="O21" s="196">
        <v>402500.0</v>
      </c>
      <c r="P21" s="215">
        <v>45903.0</v>
      </c>
      <c r="Q21" s="199"/>
      <c r="R21" s="199">
        <f t="shared" si="1"/>
        <v>0</v>
      </c>
      <c r="S21" s="200" t="str">
        <f t="shared" si="2"/>
        <v>-</v>
      </c>
      <c r="T21" s="201" t="s">
        <v>508</v>
      </c>
      <c r="U21" s="69" t="s">
        <v>1145</v>
      </c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</row>
    <row r="22" ht="15.75" hidden="1" customHeight="1">
      <c r="A22" s="190"/>
      <c r="B22" s="190" t="str">
        <f>IFERROR(__xludf.DUMMYFUNCTION("""COMPUTED_VALUE"""),"Toko Pramuka")</f>
        <v>Toko Pramuka</v>
      </c>
      <c r="C22" s="60" t="str">
        <f>IFERROR(__xludf.DUMMYFUNCTION("""COMPUTED_VALUE"""),"Pembelian Pesanan (PKM Sentul) 10box Safeguard")</f>
        <v>Pembelian Pesanan (PKM Sentul) 10box Safeguard</v>
      </c>
      <c r="D22" s="60"/>
      <c r="E22" s="191" t="str">
        <f>IFERROR(__xludf.DUMMYFUNCTION("""COMPUTED_VALUE"""),"-Menyusul-")</f>
        <v>-Menyusul-</v>
      </c>
      <c r="F22" s="61"/>
      <c r="G22" s="62">
        <f>IFERROR(__xludf.DUMMYFUNCTION("""COMPUTED_VALUE"""),45903.0)</f>
        <v>45903</v>
      </c>
      <c r="H22" s="60"/>
      <c r="I22" s="81">
        <f>IFERROR(__xludf.DUMMYFUNCTION("""COMPUTED_VALUE"""),430000.0)</f>
        <v>430000</v>
      </c>
      <c r="J22" s="203"/>
      <c r="K22" s="204"/>
      <c r="L22" s="204">
        <f>IFERROR(__xludf.DUMMYFUNCTION("""COMPUTED_VALUE"""),430000.0)</f>
        <v>430000</v>
      </c>
      <c r="M22" s="205" t="s">
        <v>1146</v>
      </c>
      <c r="N22" s="205" t="s">
        <v>1138</v>
      </c>
      <c r="O22" s="199"/>
      <c r="P22" s="217"/>
      <c r="Q22" s="199"/>
      <c r="R22" s="196" t="s">
        <v>1147</v>
      </c>
      <c r="S22" s="218" t="s">
        <v>1147</v>
      </c>
      <c r="T22" s="201" t="s">
        <v>508</v>
      </c>
      <c r="U22" s="48"/>
      <c r="V22" s="46" t="s">
        <v>1148</v>
      </c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</row>
    <row r="23" ht="15.75" hidden="1" customHeight="1">
      <c r="A23" s="190"/>
      <c r="B23" s="190" t="str">
        <f>IFERROR(__xludf.DUMMYFUNCTION("""COMPUTED_VALUE"""),"Top Point")</f>
        <v>Top Point</v>
      </c>
      <c r="C23" s="60" t="str">
        <f>IFERROR(__xludf.DUMMYFUNCTION("""COMPUTED_VALUE"""),"Pembelian Pesanan (RSPP) PO ke 3 ")</f>
        <v>Pembelian Pesanan (RSPP) PO ke 3 </v>
      </c>
      <c r="D23" s="60"/>
      <c r="E23" s="120" t="str">
        <f>IFERROR(__xludf.DUMMYFUNCTION("""COMPUTED_VALUE"""),"Surat Pesanan RSPP (PO 3)")</f>
        <v>Surat Pesanan RSPP (PO 3)</v>
      </c>
      <c r="F23" s="70" t="str">
        <f>IFERROR(__xludf.DUMMYFUNCTION("""COMPUTED_VALUE"""),"PO ke Top Point (Pesanan RSPP PO 3)")</f>
        <v>PO ke Top Point (Pesanan RSPP PO 3)</v>
      </c>
      <c r="G23" s="62">
        <f>IFERROR(__xludf.DUMMYFUNCTION("""COMPUTED_VALUE"""),45896.0)</f>
        <v>45896</v>
      </c>
      <c r="H23" s="60"/>
      <c r="I23" s="81">
        <f>IFERROR(__xludf.DUMMYFUNCTION("""COMPUTED_VALUE"""),6081081.0)</f>
        <v>6081081</v>
      </c>
      <c r="J23" s="203">
        <f>IFERROR(__xludf.DUMMYFUNCTION("""COMPUTED_VALUE"""),668919.0)</f>
        <v>668919</v>
      </c>
      <c r="K23" s="216"/>
      <c r="L23" s="204">
        <f>IFERROR(__xludf.DUMMYFUNCTION("""COMPUTED_VALUE"""),6750000.0)</f>
        <v>6750000</v>
      </c>
      <c r="M23" s="216">
        <v>45903.0</v>
      </c>
      <c r="N23" s="205" t="s">
        <v>1138</v>
      </c>
      <c r="O23" s="196">
        <v>6750000.0</v>
      </c>
      <c r="P23" s="215">
        <v>45903.0</v>
      </c>
      <c r="Q23" s="199"/>
      <c r="R23" s="199">
        <f t="shared" ref="R23:R350" si="3">L23-O23</f>
        <v>0</v>
      </c>
      <c r="S23" s="200" t="str">
        <f t="shared" ref="S23:S45" si="4">IF(R23&gt;0,"ost","-")</f>
        <v>-</v>
      </c>
      <c r="T23" s="201" t="s">
        <v>508</v>
      </c>
      <c r="U23" s="69" t="s">
        <v>1149</v>
      </c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</row>
    <row r="24" ht="15.75" hidden="1" customHeight="1">
      <c r="A24" s="190"/>
      <c r="B24" s="190" t="str">
        <f>IFERROR(__xludf.DUMMYFUNCTION("""COMPUTED_VALUE"""),"Top Point")</f>
        <v>Top Point</v>
      </c>
      <c r="C24" s="60" t="str">
        <f>IFERROR(__xludf.DUMMYFUNCTION("""COMPUTED_VALUE"""),"Pembelian Kekurangan Stock Suntikan RSUD")</f>
        <v>Pembelian Kekurangan Stock Suntikan RSUD</v>
      </c>
      <c r="D24" s="73"/>
      <c r="E24" s="219" t="str">
        <f>IFERROR(__xludf.DUMMYFUNCTION("""COMPUTED_VALUE"""),"Surat Pesanan Suntikan RSUD Cibinong")</f>
        <v>Surat Pesanan Suntikan RSUD Cibinong</v>
      </c>
      <c r="F24" s="220" t="str">
        <f>IFERROR(__xludf.DUMMYFUNCTION("""COMPUTED_VALUE"""),"PO ke TOP POINT (stok suntikan rsud)")</f>
        <v>PO ke TOP POINT (stok suntikan rsud)</v>
      </c>
      <c r="G24" s="73">
        <f>IFERROR(__xludf.DUMMYFUNCTION("""COMPUTED_VALUE"""),45897.0)</f>
        <v>45897</v>
      </c>
      <c r="H24" s="59"/>
      <c r="I24" s="24">
        <f>IFERROR(__xludf.DUMMYFUNCTION("""COMPUTED_VALUE"""),3386086.0)</f>
        <v>3386086</v>
      </c>
      <c r="J24" s="203">
        <f>IFERROR(__xludf.DUMMYFUNCTION("""COMPUTED_VALUE"""),372469.0)</f>
        <v>372469</v>
      </c>
      <c r="K24" s="216"/>
      <c r="L24" s="204">
        <f>IFERROR(__xludf.DUMMYFUNCTION("""COMPUTED_VALUE"""),3758555.0)</f>
        <v>3758555</v>
      </c>
      <c r="M24" s="216">
        <v>45903.0</v>
      </c>
      <c r="N24" s="205" t="s">
        <v>1138</v>
      </c>
      <c r="O24" s="196">
        <v>3758555.0</v>
      </c>
      <c r="P24" s="215">
        <v>45903.0</v>
      </c>
      <c r="Q24" s="199"/>
      <c r="R24" s="199">
        <f t="shared" si="3"/>
        <v>0</v>
      </c>
      <c r="S24" s="200" t="str">
        <f t="shared" si="4"/>
        <v>-</v>
      </c>
      <c r="T24" s="201" t="s">
        <v>508</v>
      </c>
      <c r="U24" s="69" t="s">
        <v>1150</v>
      </c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</row>
    <row r="25" ht="15.75" hidden="1" customHeight="1">
      <c r="A25" s="190"/>
      <c r="B25" s="190" t="str">
        <f>IFERROR(__xludf.DUMMYFUNCTION("""COMPUTED_VALUE"""),"Sarana Megamedilab Sejahtera (SMS)")</f>
        <v>Sarana Megamedilab Sejahtera (SMS)</v>
      </c>
      <c r="C25" s="60" t="str">
        <f>IFERROR(__xludf.DUMMYFUNCTION("""COMPUTED_VALUE"""),"Pembelian Reagen RSUD Cibinong (Nodin 15)")</f>
        <v>Pembelian Reagen RSUD Cibinong (Nodin 15)</v>
      </c>
      <c r="D25" s="220" t="str">
        <f>IFERROR(__xludf.DUMMYFUNCTION("""COMPUTED_VALUE"""),"SPH RSUD CIBINONG NODIN 15 (1).pdf")</f>
        <v>SPH RSUD CIBINONG NODIN 15 (1).pdf</v>
      </c>
      <c r="E25" s="219" t="str">
        <f>IFERROR(__xludf.DUMMYFUNCTION("""COMPUTED_VALUE"""),"nodin 15 rsud cibinong")</f>
        <v>nodin 15 rsud cibinong</v>
      </c>
      <c r="F25" s="220" t="str">
        <f>IFERROR(__xludf.DUMMYFUNCTION("""COMPUTED_VALUE"""),"PO ke SMS (nodin 15 RSUD Cibinong)")</f>
        <v>PO ke SMS (nodin 15 RSUD Cibinong)</v>
      </c>
      <c r="G25" s="73">
        <f>IFERROR(__xludf.DUMMYFUNCTION("""COMPUTED_VALUE"""),45876.0)</f>
        <v>45876</v>
      </c>
      <c r="H25" s="59"/>
      <c r="I25" s="24">
        <f>IFERROR(__xludf.DUMMYFUNCTION("""COMPUTED_VALUE"""),1.228401E7)</f>
        <v>12284010</v>
      </c>
      <c r="J25" s="203">
        <f>IFERROR(__xludf.DUMMYFUNCTION("""COMPUTED_VALUE"""),1351241.0)</f>
        <v>1351241</v>
      </c>
      <c r="K25" s="216"/>
      <c r="L25" s="204">
        <f>IFERROR(__xludf.DUMMYFUNCTION("""COMPUTED_VALUE"""),1.3635251E7)</f>
        <v>13635251</v>
      </c>
      <c r="M25" s="216">
        <v>45904.0</v>
      </c>
      <c r="N25" s="205" t="s">
        <v>1138</v>
      </c>
      <c r="O25" s="196">
        <v>1.3635251E7</v>
      </c>
      <c r="P25" s="215">
        <v>45904.0</v>
      </c>
      <c r="Q25" s="199"/>
      <c r="R25" s="199">
        <f t="shared" si="3"/>
        <v>0</v>
      </c>
      <c r="S25" s="200" t="str">
        <f t="shared" si="4"/>
        <v>-</v>
      </c>
      <c r="T25" s="201" t="s">
        <v>508</v>
      </c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</row>
    <row r="26" ht="15.75" hidden="1" customHeight="1">
      <c r="A26" s="190"/>
      <c r="B26" s="190" t="str">
        <f>IFERROR(__xludf.DUMMYFUNCTION("""COMPUTED_VALUE"""),"PT. Burhan Sejahtera Mulia")</f>
        <v>PT. Burhan Sejahtera Mulia</v>
      </c>
      <c r="C26" s="60" t="str">
        <f>IFERROR(__xludf.DUMMYFUNCTION("""COMPUTED_VALUE"""),"Pembelian Pesanan (PKM Bojong) Reagen Asam Urat")</f>
        <v>Pembelian Pesanan (PKM Bojong) Reagen Asam Urat</v>
      </c>
      <c r="D26" s="73"/>
      <c r="E26" s="221" t="str">
        <f>IFERROR(__xludf.DUMMYFUNCTION("""COMPUTED_VALUE"""),"part of SO no.20")</f>
        <v>part of SO no.20</v>
      </c>
      <c r="F26" s="220" t="str">
        <f>IFERROR(__xludf.DUMMYFUNCTION("""COMPUTED_VALUE"""),"PO MPG-080925003 BSM.pdf")</f>
        <v>PO MPG-080925003 BSM.pdf</v>
      </c>
      <c r="G26" s="73">
        <f>IFERROR(__xludf.DUMMYFUNCTION("""COMPUTED_VALUE"""),45908.0)</f>
        <v>45908</v>
      </c>
      <c r="H26" s="59"/>
      <c r="I26" s="24">
        <f>IFERROR(__xludf.DUMMYFUNCTION("""COMPUTED_VALUE"""),720440.0)</f>
        <v>720440</v>
      </c>
      <c r="J26" s="203">
        <f>IFERROR(__xludf.DUMMYFUNCTION("""COMPUTED_VALUE"""),79248.0)</f>
        <v>79248</v>
      </c>
      <c r="K26" s="216"/>
      <c r="L26" s="204">
        <f>IFERROR(__xludf.DUMMYFUNCTION("""COMPUTED_VALUE"""),799688.0)</f>
        <v>799688</v>
      </c>
      <c r="M26" s="216">
        <v>45908.0</v>
      </c>
      <c r="N26" s="205" t="s">
        <v>1138</v>
      </c>
      <c r="O26" s="196">
        <v>799688.0</v>
      </c>
      <c r="P26" s="215">
        <v>45908.0</v>
      </c>
      <c r="Q26" s="222"/>
      <c r="R26" s="199">
        <f t="shared" si="3"/>
        <v>0</v>
      </c>
      <c r="S26" s="200" t="str">
        <f t="shared" si="4"/>
        <v>-</v>
      </c>
      <c r="T26" s="201" t="s">
        <v>508</v>
      </c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</row>
    <row r="27" ht="15.75" hidden="1" customHeight="1">
      <c r="A27" s="190"/>
      <c r="B27" s="190" t="str">
        <f>IFERROR(__xludf.DUMMYFUNCTION("""COMPUTED_VALUE"""),"Shopee")</f>
        <v>Shopee</v>
      </c>
      <c r="C27" s="60" t="str">
        <f>IFERROR(__xludf.DUMMYFUNCTION("""COMPUTED_VALUE"""),"Pembelanjaan Pesanan Tambahan (PKM Bojong) Carpule dan Plastik Sampah Medis")</f>
        <v>Pembelanjaan Pesanan Tambahan (PKM Bojong) Carpule dan Plastik Sampah Medis</v>
      </c>
      <c r="D27" s="73"/>
      <c r="E27" s="221" t="str">
        <f>IFERROR(__xludf.DUMMYFUNCTION("""COMPUTED_VALUE"""),"-Menyusul-")</f>
        <v>-Menyusul-</v>
      </c>
      <c r="F27" s="73"/>
      <c r="G27" s="73">
        <f>IFERROR(__xludf.DUMMYFUNCTION("""COMPUTED_VALUE"""),45908.0)</f>
        <v>45908</v>
      </c>
      <c r="H27" s="59"/>
      <c r="I27" s="44">
        <f>IFERROR(__xludf.DUMMYFUNCTION("""COMPUTED_VALUE"""),543000.0)</f>
        <v>543000</v>
      </c>
      <c r="J27" s="203"/>
      <c r="K27" s="216"/>
      <c r="L27" s="204">
        <f>IFERROR(__xludf.DUMMYFUNCTION("""COMPUTED_VALUE"""),543000.0)</f>
        <v>543000</v>
      </c>
      <c r="M27" s="216">
        <v>45908.0</v>
      </c>
      <c r="N27" s="205" t="s">
        <v>1138</v>
      </c>
      <c r="O27" s="196">
        <v>543000.0</v>
      </c>
      <c r="P27" s="215">
        <v>45908.0</v>
      </c>
      <c r="Q27" s="199"/>
      <c r="R27" s="199">
        <f t="shared" si="3"/>
        <v>0</v>
      </c>
      <c r="S27" s="200" t="str">
        <f t="shared" si="4"/>
        <v>-</v>
      </c>
      <c r="T27" s="201" t="s">
        <v>508</v>
      </c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</row>
    <row r="28" ht="15.75" hidden="1" customHeight="1">
      <c r="A28" s="190"/>
      <c r="B28" s="190" t="str">
        <f>IFERROR(__xludf.DUMMYFUNCTION("""COMPUTED_VALUE"""),"PT. Tirta Investama")</f>
        <v>PT. Tirta Investama</v>
      </c>
      <c r="C28" s="60" t="str">
        <f>IFERROR(__xludf.DUMMYFUNCTION("""COMPUTED_VALUE"""),"Pembaayaran Aqua Galon Gedung")</f>
        <v>Pembaayaran Aqua Galon Gedung</v>
      </c>
      <c r="D28" s="73"/>
      <c r="E28" s="221"/>
      <c r="F28" s="73"/>
      <c r="G28" s="73">
        <f>IFERROR(__xludf.DUMMYFUNCTION("""COMPUTED_VALUE"""),45900.0)</f>
        <v>45900</v>
      </c>
      <c r="H28" s="59"/>
      <c r="I28" s="24">
        <f>IFERROR(__xludf.DUMMYFUNCTION("""COMPUTED_VALUE"""),400000.0)</f>
        <v>400000</v>
      </c>
      <c r="J28" s="203"/>
      <c r="K28" s="216"/>
      <c r="L28" s="204">
        <f>IFERROR(__xludf.DUMMYFUNCTION("""COMPUTED_VALUE"""),400000.0)</f>
        <v>400000</v>
      </c>
      <c r="M28" s="216">
        <v>45908.0</v>
      </c>
      <c r="N28" s="205" t="s">
        <v>1138</v>
      </c>
      <c r="O28" s="208">
        <v>400000.0</v>
      </c>
      <c r="P28" s="215">
        <v>45908.0</v>
      </c>
      <c r="Q28" s="223"/>
      <c r="R28" s="199">
        <f t="shared" si="3"/>
        <v>0</v>
      </c>
      <c r="S28" s="200" t="str">
        <f t="shared" si="4"/>
        <v>-</v>
      </c>
      <c r="T28" s="201" t="s">
        <v>508</v>
      </c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</row>
    <row r="29" ht="15.75" hidden="1" customHeight="1">
      <c r="A29" s="190"/>
      <c r="B29" s="190" t="str">
        <f>IFERROR(__xludf.DUMMYFUNCTION("""COMPUTED_VALUE"""),"PT. Top Point Medical")</f>
        <v>PT. Top Point Medical</v>
      </c>
      <c r="C29" s="60" t="str">
        <f>IFERROR(__xludf.DUMMYFUNCTION("""COMPUTED_VALUE"""),"Pembellian Pesanan (RSPP) PO ke 4")</f>
        <v>Pembellian Pesanan (RSPP) PO ke 4</v>
      </c>
      <c r="D29" s="73"/>
      <c r="E29" s="219" t="str">
        <f>IFERROR(__xludf.DUMMYFUNCTION("""COMPUTED_VALUE"""),"PO KE 4 RSPP")</f>
        <v>PO KE 4 RSPP</v>
      </c>
      <c r="F29" s="220" t="str">
        <f>IFERROR(__xludf.DUMMYFUNCTION("""COMPUTED_VALUE"""),"po ke tp (rspp ke 4)")</f>
        <v>po ke tp (rspp ke 4)</v>
      </c>
      <c r="G29" s="73">
        <f>IFERROR(__xludf.DUMMYFUNCTION("""COMPUTED_VALUE"""),45909.0)</f>
        <v>45909</v>
      </c>
      <c r="H29" s="59"/>
      <c r="I29" s="24">
        <f>IFERROR(__xludf.DUMMYFUNCTION("""COMPUTED_VALUE"""),4560811.0)</f>
        <v>4560811</v>
      </c>
      <c r="J29" s="209">
        <f>IFERROR(__xludf.DUMMYFUNCTION("""COMPUTED_VALUE"""),501689.0)</f>
        <v>501689</v>
      </c>
      <c r="K29" s="224"/>
      <c r="L29" s="210">
        <f>IFERROR(__xludf.DUMMYFUNCTION("""COMPUTED_VALUE"""),5062500.0)</f>
        <v>5062500</v>
      </c>
      <c r="M29" s="224">
        <v>45915.0</v>
      </c>
      <c r="N29" s="205" t="s">
        <v>1138</v>
      </c>
      <c r="O29" s="196">
        <v>5062500.0</v>
      </c>
      <c r="P29" s="215">
        <v>45915.0</v>
      </c>
      <c r="Q29" s="222"/>
      <c r="R29" s="199">
        <f t="shared" si="3"/>
        <v>0</v>
      </c>
      <c r="S29" s="200" t="str">
        <f t="shared" si="4"/>
        <v>-</v>
      </c>
      <c r="T29" s="201" t="s">
        <v>508</v>
      </c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</row>
    <row r="30" ht="15.75" hidden="1" customHeight="1">
      <c r="A30" s="190"/>
      <c r="B30" s="190" t="str">
        <f>IFERROR(__xludf.DUMMYFUNCTION("""COMPUTED_VALUE"""),"Gedung")</f>
        <v>Gedung</v>
      </c>
      <c r="C30" s="60" t="str">
        <f>IFERROR(__xludf.DUMMYFUNCTION("""COMPUTED_VALUE"""),"Pembayaran Listrik dan Parkir Gedung (pemakaian agustus)")</f>
        <v>Pembayaran Listrik dan Parkir Gedung (pemakaian agustus)</v>
      </c>
      <c r="D30" s="73"/>
      <c r="E30" s="221"/>
      <c r="F30" s="73"/>
      <c r="G30" s="73">
        <f>IFERROR(__xludf.DUMMYFUNCTION("""COMPUTED_VALUE"""),45915.0)</f>
        <v>45915</v>
      </c>
      <c r="H30" s="59"/>
      <c r="I30" s="24">
        <f>IFERROR(__xludf.DUMMYFUNCTION("""COMPUTED_VALUE"""),4684781.0)</f>
        <v>4684781</v>
      </c>
      <c r="J30" s="209"/>
      <c r="K30" s="224"/>
      <c r="L30" s="210">
        <f>IFERROR(__xludf.DUMMYFUNCTION("""COMPUTED_VALUE"""),4684781.0)</f>
        <v>4684781</v>
      </c>
      <c r="M30" s="224">
        <v>45915.0</v>
      </c>
      <c r="N30" s="205" t="s">
        <v>1138</v>
      </c>
      <c r="O30" s="196">
        <v>4684781.0</v>
      </c>
      <c r="P30" s="215">
        <v>45915.0</v>
      </c>
      <c r="Q30" s="222"/>
      <c r="R30" s="199">
        <f t="shared" si="3"/>
        <v>0</v>
      </c>
      <c r="S30" s="200" t="str">
        <f t="shared" si="4"/>
        <v>-</v>
      </c>
      <c r="T30" s="201" t="s">
        <v>508</v>
      </c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</row>
    <row r="31" ht="15.75" hidden="1" customHeight="1">
      <c r="A31" s="190"/>
      <c r="B31" s="190" t="str">
        <f>IFERROR(__xludf.DUMMYFUNCTION("""COMPUTED_VALUE"""),"Shopee")</f>
        <v>Shopee</v>
      </c>
      <c r="C31" s="60" t="str">
        <f>IFERROR(__xludf.DUMMYFUNCTION("""COMPUTED_VALUE"""),"Pembelian Kekurangan Plastik Sampah Medis (PKM Bojong)")</f>
        <v>Pembelian Kekurangan Plastik Sampah Medis (PKM Bojong)</v>
      </c>
      <c r="D31" s="73"/>
      <c r="E31" s="219" t="str">
        <f>IFERROR(__xludf.DUMMYFUNCTION("""COMPUTED_VALUE"""),"NOTA PERABOT KANTOR MATA PENSIL 09 25.pdf")</f>
        <v>NOTA PERABOT KANTOR MATA PENSIL 09 25.pdf</v>
      </c>
      <c r="F31" s="73"/>
      <c r="G31" s="73">
        <f>IFERROR(__xludf.DUMMYFUNCTION("""COMPUTED_VALUE"""),45915.0)</f>
        <v>45915</v>
      </c>
      <c r="H31" s="59"/>
      <c r="I31" s="44">
        <f>IFERROR(__xludf.DUMMYFUNCTION("""COMPUTED_VALUE"""),53380.0)</f>
        <v>53380</v>
      </c>
      <c r="J31" s="209"/>
      <c r="K31" s="224"/>
      <c r="L31" s="210">
        <f>IFERROR(__xludf.DUMMYFUNCTION("""COMPUTED_VALUE"""),53380.0)</f>
        <v>53380</v>
      </c>
      <c r="M31" s="224">
        <v>45915.0</v>
      </c>
      <c r="N31" s="205" t="s">
        <v>1138</v>
      </c>
      <c r="O31" s="196">
        <v>53380.0</v>
      </c>
      <c r="P31" s="215">
        <v>45915.0</v>
      </c>
      <c r="Q31" s="222"/>
      <c r="R31" s="199">
        <f t="shared" si="3"/>
        <v>0</v>
      </c>
      <c r="S31" s="200" t="str">
        <f t="shared" si="4"/>
        <v>-</v>
      </c>
      <c r="T31" s="201" t="s">
        <v>508</v>
      </c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</row>
    <row r="32" ht="15.75" hidden="1" customHeight="1">
      <c r="A32" s="190"/>
      <c r="B32" s="190" t="str">
        <f>IFERROR(__xludf.DUMMYFUNCTION("""COMPUTED_VALUE"""),"Shopee")</f>
        <v>Shopee</v>
      </c>
      <c r="C32" s="60" t="str">
        <f>IFERROR(__xludf.DUMMYFUNCTION("""COMPUTED_VALUE"""),"Pembelian Kontrol Kimia (PKM Balekambang)")</f>
        <v>Pembelian Kontrol Kimia (PKM Balekambang)</v>
      </c>
      <c r="D32" s="73"/>
      <c r="E32" s="219" t="str">
        <f>IFERROR(__xludf.DUMMYFUNCTION("""COMPUTED_VALUE"""),"Pesanan Balekambang ")</f>
        <v>Pesanan Balekambang </v>
      </c>
      <c r="F32" s="73"/>
      <c r="G32" s="73">
        <f>IFERROR(__xludf.DUMMYFUNCTION("""COMPUTED_VALUE"""),45916.0)</f>
        <v>45916</v>
      </c>
      <c r="H32" s="59"/>
      <c r="I32" s="24">
        <f>IFERROR(__xludf.DUMMYFUNCTION("""COMPUTED_VALUE"""),1277500.0)</f>
        <v>1277500</v>
      </c>
      <c r="J32" s="209"/>
      <c r="K32" s="224"/>
      <c r="L32" s="210">
        <f>IFERROR(__xludf.DUMMYFUNCTION("""COMPUTED_VALUE"""),1277500.0)</f>
        <v>1277500</v>
      </c>
      <c r="M32" s="224">
        <v>45916.0</v>
      </c>
      <c r="N32" s="205" t="s">
        <v>1138</v>
      </c>
      <c r="O32" s="196">
        <v>1277500.0</v>
      </c>
      <c r="P32" s="215">
        <v>45916.0</v>
      </c>
      <c r="Q32" s="222"/>
      <c r="R32" s="199">
        <f t="shared" si="3"/>
        <v>0</v>
      </c>
      <c r="S32" s="200" t="str">
        <f t="shared" si="4"/>
        <v>-</v>
      </c>
      <c r="T32" s="201" t="s">
        <v>508</v>
      </c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</row>
    <row r="33" ht="15.75" hidden="1" customHeight="1">
      <c r="A33" s="190"/>
      <c r="B33" s="190" t="str">
        <f>IFERROR(__xludf.DUMMYFUNCTION("""COMPUTED_VALUE"""),"Shopee")</f>
        <v>Shopee</v>
      </c>
      <c r="C33" s="60" t="str">
        <f>IFERROR(__xludf.DUMMYFUNCTION("""COMPUTED_VALUE"""),"Pembelian Pesanan (PKM Cipeucang)")</f>
        <v>Pembelian Pesanan (PKM Cipeucang)</v>
      </c>
      <c r="D33" s="73"/>
      <c r="E33" s="219" t="str">
        <f>IFERROR(__xludf.DUMMYFUNCTION("""COMPUTED_VALUE"""),"Surat Pesanan  BMHP PKM Cipeucang.pdf")</f>
        <v>Surat Pesanan  BMHP PKM Cipeucang.pdf</v>
      </c>
      <c r="F33" s="73"/>
      <c r="G33" s="73">
        <f>IFERROR(__xludf.DUMMYFUNCTION("""COMPUTED_VALUE"""),45917.0)</f>
        <v>45917</v>
      </c>
      <c r="H33" s="59"/>
      <c r="I33" s="24">
        <f>IFERROR(__xludf.DUMMYFUNCTION("""COMPUTED_VALUE"""),2676315.0)</f>
        <v>2676315</v>
      </c>
      <c r="J33" s="209"/>
      <c r="K33" s="224"/>
      <c r="L33" s="210">
        <f>IFERROR(__xludf.DUMMYFUNCTION("""COMPUTED_VALUE"""),2676315.0)</f>
        <v>2676315</v>
      </c>
      <c r="M33" s="224">
        <v>45917.0</v>
      </c>
      <c r="N33" s="205" t="s">
        <v>1138</v>
      </c>
      <c r="O33" s="196">
        <v>2676315.0</v>
      </c>
      <c r="P33" s="215">
        <v>45917.0</v>
      </c>
      <c r="Q33" s="222"/>
      <c r="R33" s="199">
        <f t="shared" si="3"/>
        <v>0</v>
      </c>
      <c r="S33" s="200" t="str">
        <f t="shared" si="4"/>
        <v>-</v>
      </c>
      <c r="T33" s="201" t="s">
        <v>508</v>
      </c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</row>
    <row r="34" ht="15.75" hidden="1" customHeight="1">
      <c r="A34" s="190"/>
      <c r="B34" s="225" t="str">
        <f>IFERROR(__xludf.DUMMYFUNCTION("""COMPUTED_VALUE"""),"Shopee")</f>
        <v>Shopee</v>
      </c>
      <c r="C34" s="226" t="str">
        <f>IFERROR(__xludf.DUMMYFUNCTION("""COMPUTED_VALUE"""),"Pembelian Pesanan (PKM Kelapa Dua) Plastik Sampah")</f>
        <v>Pembelian Pesanan (PKM Kelapa Dua) Plastik Sampah</v>
      </c>
      <c r="D34" s="73"/>
      <c r="E34" s="219" t="str">
        <f>IFERROR(__xludf.DUMMYFUNCTION("""COMPUTED_VALUE"""),"SP Belanja Kebersihan Puskesmas Kelapa Dua September 2025.pdf")</f>
        <v>SP Belanja Kebersihan Puskesmas Kelapa Dua September 2025.pdf</v>
      </c>
      <c r="F34" s="73"/>
      <c r="G34" s="73">
        <f>IFERROR(__xludf.DUMMYFUNCTION("""COMPUTED_VALUE"""),45925.0)</f>
        <v>45925</v>
      </c>
      <c r="H34" s="59"/>
      <c r="I34" s="24">
        <f>IFERROR(__xludf.DUMMYFUNCTION("""COMPUTED_VALUE"""),1827490.0)</f>
        <v>1827490</v>
      </c>
      <c r="J34" s="209"/>
      <c r="K34" s="224"/>
      <c r="L34" s="210">
        <f>IFERROR(__xludf.DUMMYFUNCTION("""COMPUTED_VALUE"""),1827490.0)</f>
        <v>1827490</v>
      </c>
      <c r="M34" s="224">
        <v>45925.0</v>
      </c>
      <c r="N34" s="205" t="s">
        <v>1138</v>
      </c>
      <c r="O34" s="196">
        <v>1827490.0</v>
      </c>
      <c r="P34" s="215">
        <v>45925.0</v>
      </c>
      <c r="Q34" s="222"/>
      <c r="R34" s="199">
        <f t="shared" si="3"/>
        <v>0</v>
      </c>
      <c r="S34" s="200" t="str">
        <f t="shared" si="4"/>
        <v>-</v>
      </c>
      <c r="T34" s="201" t="s">
        <v>508</v>
      </c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</row>
    <row r="35" ht="15.75" hidden="1" customHeight="1">
      <c r="A35" s="190"/>
      <c r="B35" s="225" t="str">
        <f>IFERROR(__xludf.DUMMYFUNCTION("""COMPUTED_VALUE"""),"Shopee")</f>
        <v>Shopee</v>
      </c>
      <c r="C35" s="226" t="str">
        <f>IFERROR(__xludf.DUMMYFUNCTION("""COMPUTED_VALUE"""),"Pembelian Pesanan (PKM Kelapa Dua) Pengharum Ruangan spray dan gantung dahlia")</f>
        <v>Pembelian Pesanan (PKM Kelapa Dua) Pengharum Ruangan spray dan gantung dahlia</v>
      </c>
      <c r="D35" s="73"/>
      <c r="E35" s="219" t="str">
        <f>IFERROR(__xludf.DUMMYFUNCTION("""COMPUTED_VALUE"""),"SP Belanja Kebersihan Puskesmas Kelapa Dua September 2025.pdf")</f>
        <v>SP Belanja Kebersihan Puskesmas Kelapa Dua September 2025.pdf</v>
      </c>
      <c r="F35" s="73"/>
      <c r="G35" s="73">
        <f>IFERROR(__xludf.DUMMYFUNCTION("""COMPUTED_VALUE"""),45925.0)</f>
        <v>45925</v>
      </c>
      <c r="H35" s="59"/>
      <c r="I35" s="24">
        <f>IFERROR(__xludf.DUMMYFUNCTION("""COMPUTED_VALUE"""),937200.0)</f>
        <v>937200</v>
      </c>
      <c r="J35" s="209"/>
      <c r="K35" s="224"/>
      <c r="L35" s="210">
        <f>IFERROR(__xludf.DUMMYFUNCTION("""COMPUTED_VALUE"""),937200.0)</f>
        <v>937200</v>
      </c>
      <c r="M35" s="224">
        <v>45925.0</v>
      </c>
      <c r="N35" s="205" t="s">
        <v>1138</v>
      </c>
      <c r="O35" s="196">
        <v>937200.0</v>
      </c>
      <c r="P35" s="215">
        <v>45925.0</v>
      </c>
      <c r="Q35" s="222"/>
      <c r="R35" s="199">
        <f t="shared" si="3"/>
        <v>0</v>
      </c>
      <c r="S35" s="200" t="str">
        <f t="shared" si="4"/>
        <v>-</v>
      </c>
      <c r="T35" s="201" t="s">
        <v>508</v>
      </c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</row>
    <row r="36" ht="15.75" hidden="1" customHeight="1">
      <c r="A36" s="190"/>
      <c r="B36" s="225" t="str">
        <f>IFERROR(__xludf.DUMMYFUNCTION("""COMPUTED_VALUE"""),"Shopee")</f>
        <v>Shopee</v>
      </c>
      <c r="C36" s="226" t="str">
        <f>IFERROR(__xludf.DUMMYFUNCTION("""COMPUTED_VALUE"""),"Pembelian Pesanan (PKM Kelapa Dua) tissue livi dan paseo")</f>
        <v>Pembelian Pesanan (PKM Kelapa Dua) tissue livi dan paseo</v>
      </c>
      <c r="D36" s="73"/>
      <c r="E36" s="219" t="str">
        <f>IFERROR(__xludf.DUMMYFUNCTION("""COMPUTED_VALUE"""),"SP Belanja Kebersihan Puskesmas Kelapa Dua September 2025.pdf")</f>
        <v>SP Belanja Kebersihan Puskesmas Kelapa Dua September 2025.pdf</v>
      </c>
      <c r="F36" s="73"/>
      <c r="G36" s="73">
        <f>IFERROR(__xludf.DUMMYFUNCTION("""COMPUTED_VALUE"""),45925.0)</f>
        <v>45925</v>
      </c>
      <c r="H36" s="59"/>
      <c r="I36" s="24">
        <f>IFERROR(__xludf.DUMMYFUNCTION("""COMPUTED_VALUE"""),480255.0)</f>
        <v>480255</v>
      </c>
      <c r="J36" s="209"/>
      <c r="K36" s="224"/>
      <c r="L36" s="210">
        <f>IFERROR(__xludf.DUMMYFUNCTION("""COMPUTED_VALUE"""),480255.0)</f>
        <v>480255</v>
      </c>
      <c r="M36" s="224">
        <v>45925.0</v>
      </c>
      <c r="N36" s="205" t="s">
        <v>1138</v>
      </c>
      <c r="O36" s="196">
        <v>480255.0</v>
      </c>
      <c r="P36" s="215">
        <v>45925.0</v>
      </c>
      <c r="Q36" s="222"/>
      <c r="R36" s="199">
        <f t="shared" si="3"/>
        <v>0</v>
      </c>
      <c r="S36" s="200" t="str">
        <f t="shared" si="4"/>
        <v>-</v>
      </c>
      <c r="T36" s="201" t="s">
        <v>508</v>
      </c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</row>
    <row r="37" ht="15.75" hidden="1" customHeight="1">
      <c r="A37" s="190"/>
      <c r="B37" s="225" t="str">
        <f>IFERROR(__xludf.DUMMYFUNCTION("""COMPUTED_VALUE"""),"Shopee")</f>
        <v>Shopee</v>
      </c>
      <c r="C37" s="226" t="str">
        <f>IFERROR(__xludf.DUMMYFUNCTION("""COMPUTED_VALUE"""),"Pembelian Pesanan (PKM Kelapa Dua) Baygon")</f>
        <v>Pembelian Pesanan (PKM Kelapa Dua) Baygon</v>
      </c>
      <c r="D37" s="73"/>
      <c r="E37" s="219" t="str">
        <f>IFERROR(__xludf.DUMMYFUNCTION("""COMPUTED_VALUE"""),"SP Belanja Kebersihan Puskesmas Kelapa Dua September 2025.pdf")</f>
        <v>SP Belanja Kebersihan Puskesmas Kelapa Dua September 2025.pdf</v>
      </c>
      <c r="F37" s="73"/>
      <c r="G37" s="73">
        <f>IFERROR(__xludf.DUMMYFUNCTION("""COMPUTED_VALUE"""),45925.0)</f>
        <v>45925</v>
      </c>
      <c r="H37" s="59"/>
      <c r="I37" s="24">
        <f>IFERROR(__xludf.DUMMYFUNCTION("""COMPUTED_VALUE"""),798000.0)</f>
        <v>798000</v>
      </c>
      <c r="J37" s="209"/>
      <c r="K37" s="224"/>
      <c r="L37" s="210">
        <f>IFERROR(__xludf.DUMMYFUNCTION("""COMPUTED_VALUE"""),798000.0)</f>
        <v>798000</v>
      </c>
      <c r="M37" s="224">
        <v>45925.0</v>
      </c>
      <c r="N37" s="205" t="s">
        <v>1138</v>
      </c>
      <c r="O37" s="196">
        <v>798000.0</v>
      </c>
      <c r="P37" s="215">
        <v>45925.0</v>
      </c>
      <c r="Q37" s="222"/>
      <c r="R37" s="199">
        <f t="shared" si="3"/>
        <v>0</v>
      </c>
      <c r="S37" s="200" t="str">
        <f t="shared" si="4"/>
        <v>-</v>
      </c>
      <c r="T37" s="201" t="s">
        <v>508</v>
      </c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</row>
    <row r="38" ht="15.75" hidden="1" customHeight="1">
      <c r="A38" s="190"/>
      <c r="B38" s="225" t="str">
        <f>IFERROR(__xludf.DUMMYFUNCTION("""COMPUTED_VALUE"""),"Shopee")</f>
        <v>Shopee</v>
      </c>
      <c r="C38" s="226" t="str">
        <f>IFERROR(__xludf.DUMMYFUNCTION("""COMPUTED_VALUE"""),"Pembelian Pesanan (PKM Kelapa Dua) switzal dan minyak telon")</f>
        <v>Pembelian Pesanan (PKM Kelapa Dua) switzal dan minyak telon</v>
      </c>
      <c r="D38" s="73"/>
      <c r="E38" s="219" t="str">
        <f>IFERROR(__xludf.DUMMYFUNCTION("""COMPUTED_VALUE"""),"SP Belanja Kebersihan Puskesmas Kelapa Dua September 2025.pdf")</f>
        <v>SP Belanja Kebersihan Puskesmas Kelapa Dua September 2025.pdf</v>
      </c>
      <c r="F38" s="73"/>
      <c r="G38" s="73">
        <f>IFERROR(__xludf.DUMMYFUNCTION("""COMPUTED_VALUE"""),45925.0)</f>
        <v>45925</v>
      </c>
      <c r="H38" s="59"/>
      <c r="I38" s="24">
        <f>IFERROR(__xludf.DUMMYFUNCTION("""COMPUTED_VALUE"""),493200.0)</f>
        <v>493200</v>
      </c>
      <c r="J38" s="209"/>
      <c r="K38" s="224"/>
      <c r="L38" s="210">
        <f>IFERROR(__xludf.DUMMYFUNCTION("""COMPUTED_VALUE"""),493200.0)</f>
        <v>493200</v>
      </c>
      <c r="M38" s="224">
        <v>45925.0</v>
      </c>
      <c r="N38" s="205" t="s">
        <v>1138</v>
      </c>
      <c r="O38" s="196">
        <v>493200.0</v>
      </c>
      <c r="P38" s="215">
        <v>45925.0</v>
      </c>
      <c r="Q38" s="222"/>
      <c r="R38" s="199">
        <f t="shared" si="3"/>
        <v>0</v>
      </c>
      <c r="S38" s="200" t="str">
        <f t="shared" si="4"/>
        <v>-</v>
      </c>
      <c r="T38" s="201" t="s">
        <v>508</v>
      </c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</row>
    <row r="39" ht="15.75" hidden="1" customHeight="1">
      <c r="A39" s="190"/>
      <c r="B39" s="225" t="str">
        <f>IFERROR(__xludf.DUMMYFUNCTION("""COMPUTED_VALUE"""),"Shopee")</f>
        <v>Shopee</v>
      </c>
      <c r="C39" s="226" t="str">
        <f>IFERROR(__xludf.DUMMYFUNCTION("""COMPUTED_VALUE"""),"Pembelian Pesanan (PKM Kelapa Dua) kamper")</f>
        <v>Pembelian Pesanan (PKM Kelapa Dua) kamper</v>
      </c>
      <c r="D39" s="73"/>
      <c r="E39" s="219" t="str">
        <f>IFERROR(__xludf.DUMMYFUNCTION("""COMPUTED_VALUE"""),"SP Belanja Kebersihan Puskesmas Kelapa Dua September 2025.pdf")</f>
        <v>SP Belanja Kebersihan Puskesmas Kelapa Dua September 2025.pdf</v>
      </c>
      <c r="F39" s="73"/>
      <c r="G39" s="73">
        <f>IFERROR(__xludf.DUMMYFUNCTION("""COMPUTED_VALUE"""),45925.0)</f>
        <v>45925</v>
      </c>
      <c r="H39" s="59"/>
      <c r="I39" s="24">
        <f>IFERROR(__xludf.DUMMYFUNCTION("""COMPUTED_VALUE"""),622900.0)</f>
        <v>622900</v>
      </c>
      <c r="J39" s="209"/>
      <c r="K39" s="224"/>
      <c r="L39" s="210">
        <f>IFERROR(__xludf.DUMMYFUNCTION("""COMPUTED_VALUE"""),622900.0)</f>
        <v>622900</v>
      </c>
      <c r="M39" s="224">
        <v>45925.0</v>
      </c>
      <c r="N39" s="205" t="s">
        <v>1138</v>
      </c>
      <c r="O39" s="196">
        <v>622900.0</v>
      </c>
      <c r="P39" s="215">
        <v>45925.0</v>
      </c>
      <c r="Q39" s="222"/>
      <c r="R39" s="199">
        <f t="shared" si="3"/>
        <v>0</v>
      </c>
      <c r="S39" s="200" t="str">
        <f t="shared" si="4"/>
        <v>-</v>
      </c>
      <c r="T39" s="201" t="s">
        <v>508</v>
      </c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</row>
    <row r="40" ht="15.75" hidden="1" customHeight="1">
      <c r="A40" s="190"/>
      <c r="B40" s="225" t="str">
        <f>IFERROR(__xludf.DUMMYFUNCTION("""COMPUTED_VALUE"""),"Shopee")</f>
        <v>Shopee</v>
      </c>
      <c r="C40" s="226" t="str">
        <f>IFERROR(__xludf.DUMMYFUNCTION("""COMPUTED_VALUE"""),"Pembelian Pesanan (PKM Kelapa Dua) tempat sampah")</f>
        <v>Pembelian Pesanan (PKM Kelapa Dua) tempat sampah</v>
      </c>
      <c r="D40" s="73"/>
      <c r="E40" s="219" t="str">
        <f>IFERROR(__xludf.DUMMYFUNCTION("""COMPUTED_VALUE"""),"SP Belanja Kebersihan Puskesmas Kelapa Dua September 2025.pdf")</f>
        <v>SP Belanja Kebersihan Puskesmas Kelapa Dua September 2025.pdf</v>
      </c>
      <c r="F40" s="73"/>
      <c r="G40" s="73">
        <f>IFERROR(__xludf.DUMMYFUNCTION("""COMPUTED_VALUE"""),45925.0)</f>
        <v>45925</v>
      </c>
      <c r="H40" s="59"/>
      <c r="I40" s="24">
        <f>IFERROR(__xludf.DUMMYFUNCTION("""COMPUTED_VALUE"""),432000.0)</f>
        <v>432000</v>
      </c>
      <c r="J40" s="209"/>
      <c r="K40" s="224"/>
      <c r="L40" s="210">
        <f>IFERROR(__xludf.DUMMYFUNCTION("""COMPUTED_VALUE"""),432000.0)</f>
        <v>432000</v>
      </c>
      <c r="M40" s="224">
        <v>45925.0</v>
      </c>
      <c r="N40" s="205" t="s">
        <v>1138</v>
      </c>
      <c r="O40" s="196">
        <v>432000.0</v>
      </c>
      <c r="P40" s="215">
        <v>45925.0</v>
      </c>
      <c r="Q40" s="222"/>
      <c r="R40" s="199">
        <f t="shared" si="3"/>
        <v>0</v>
      </c>
      <c r="S40" s="200" t="str">
        <f t="shared" si="4"/>
        <v>-</v>
      </c>
      <c r="T40" s="201" t="s">
        <v>508</v>
      </c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</row>
    <row r="41" ht="15.75" hidden="1" customHeight="1">
      <c r="A41" s="190"/>
      <c r="B41" s="225" t="str">
        <f>IFERROR(__xludf.DUMMYFUNCTION("""COMPUTED_VALUE"""),"Shopee")</f>
        <v>Shopee</v>
      </c>
      <c r="C41" s="226" t="str">
        <f>IFERROR(__xludf.DUMMYFUNCTION("""COMPUTED_VALUE"""),"Pembelian Pesanan (PKM Kelapa Dua) sapu,ember,sikat,keset,sapu plafon,air spray")</f>
        <v>Pembelian Pesanan (PKM Kelapa Dua) sapu,ember,sikat,keset,sapu plafon,air spray</v>
      </c>
      <c r="D41" s="73"/>
      <c r="E41" s="219" t="str">
        <f>IFERROR(__xludf.DUMMYFUNCTION("""COMPUTED_VALUE"""),"SP Belanja Kebersihan Puskesmas Kelapa Dua September 2025.pdf")</f>
        <v>SP Belanja Kebersihan Puskesmas Kelapa Dua September 2025.pdf</v>
      </c>
      <c r="F41" s="73"/>
      <c r="G41" s="73">
        <f>IFERROR(__xludf.DUMMYFUNCTION("""COMPUTED_VALUE"""),45925.0)</f>
        <v>45925</v>
      </c>
      <c r="H41" s="59"/>
      <c r="I41" s="24">
        <f>IFERROR(__xludf.DUMMYFUNCTION("""COMPUTED_VALUE"""),601325.0)</f>
        <v>601325</v>
      </c>
      <c r="J41" s="209"/>
      <c r="K41" s="224"/>
      <c r="L41" s="210">
        <f>IFERROR(__xludf.DUMMYFUNCTION("""COMPUTED_VALUE"""),601325.0)</f>
        <v>601325</v>
      </c>
      <c r="M41" s="224">
        <v>45925.0</v>
      </c>
      <c r="N41" s="205" t="s">
        <v>1138</v>
      </c>
      <c r="O41" s="196">
        <v>601325.0</v>
      </c>
      <c r="P41" s="215">
        <v>45925.0</v>
      </c>
      <c r="Q41" s="222"/>
      <c r="R41" s="199">
        <f t="shared" si="3"/>
        <v>0</v>
      </c>
      <c r="S41" s="200" t="str">
        <f t="shared" si="4"/>
        <v>-</v>
      </c>
      <c r="T41" s="201" t="s">
        <v>508</v>
      </c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</row>
    <row r="42" ht="15.75" hidden="1" customHeight="1">
      <c r="A42" s="190"/>
      <c r="B42" s="190" t="str">
        <f>IFERROR(__xludf.DUMMYFUNCTION("""COMPUTED_VALUE"""),"PT. Top Point")</f>
        <v>PT. Top Point</v>
      </c>
      <c r="C42" s="60" t="str">
        <f>IFERROR(__xludf.DUMMYFUNCTION("""COMPUTED_VALUE"""),"Pembelian Pesanan RSPP PO ke 5")</f>
        <v>Pembelian Pesanan RSPP PO ke 5</v>
      </c>
      <c r="D42" s="73"/>
      <c r="E42" s="219" t="str">
        <f>IFERROR(__xludf.DUMMYFUNCTION("""COMPUTED_VALUE"""),"Surat Pesanan RSPP Po 5")</f>
        <v>Surat Pesanan RSPP Po 5</v>
      </c>
      <c r="F42" s="220" t="str">
        <f>IFERROR(__xludf.DUMMYFUNCTION("""COMPUTED_VALUE"""),"PO ke TP RSPP PO 5")</f>
        <v>PO ke TP RSPP PO 5</v>
      </c>
      <c r="G42" s="73">
        <f>IFERROR(__xludf.DUMMYFUNCTION("""COMPUTED_VALUE"""),45918.0)</f>
        <v>45918</v>
      </c>
      <c r="H42" s="59"/>
      <c r="I42" s="24">
        <f>IFERROR(__xludf.DUMMYFUNCTION("""COMPUTED_VALUE"""),4560811.0)</f>
        <v>4560811</v>
      </c>
      <c r="J42" s="209">
        <f>IFERROR(__xludf.DUMMYFUNCTION("""COMPUTED_VALUE"""),501689.0)</f>
        <v>501689</v>
      </c>
      <c r="K42" s="224"/>
      <c r="L42" s="210">
        <f>IFERROR(__xludf.DUMMYFUNCTION("""COMPUTED_VALUE"""),5062500.0)</f>
        <v>5062500</v>
      </c>
      <c r="M42" s="224">
        <v>45925.0</v>
      </c>
      <c r="N42" s="205" t="s">
        <v>1138</v>
      </c>
      <c r="O42" s="196">
        <v>5062500.0</v>
      </c>
      <c r="P42" s="215">
        <v>45925.0</v>
      </c>
      <c r="Q42" s="222"/>
      <c r="R42" s="199">
        <f t="shared" si="3"/>
        <v>0</v>
      </c>
      <c r="S42" s="200" t="str">
        <f t="shared" si="4"/>
        <v>-</v>
      </c>
      <c r="T42" s="201" t="s">
        <v>508</v>
      </c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</row>
    <row r="43" ht="15.75" hidden="1" customHeight="1">
      <c r="A43" s="190"/>
      <c r="B43" s="190" t="str">
        <f>IFERROR(__xludf.DUMMYFUNCTION("""COMPUTED_VALUE"""),"PT. Sangiang Karya Mandiri")</f>
        <v>PT. Sangiang Karya Mandiri</v>
      </c>
      <c r="C43" s="60" t="str">
        <f>IFERROR(__xludf.DUMMYFUNCTION("""COMPUTED_VALUE"""),"Pembelian Pesanan Dinkes Tasikmalaya")</f>
        <v>Pembelian Pesanan Dinkes Tasikmalaya</v>
      </c>
      <c r="D43" s="73"/>
      <c r="E43" s="219" t="str">
        <f>IFERROR(__xludf.DUMMYFUNCTION("""COMPUTED_VALUE"""),"SP 46 Genta (1).pdf")</f>
        <v>SP 46 Genta (1).pdf</v>
      </c>
      <c r="F43" s="220" t="str">
        <f>IFERROR(__xludf.DUMMYFUNCTION("""COMPUTED_VALUE"""),"po ke pt.sangiang")</f>
        <v>po ke pt.sangiang</v>
      </c>
      <c r="G43" s="73">
        <f>IFERROR(__xludf.DUMMYFUNCTION("""COMPUTED_VALUE"""),45925.0)</f>
        <v>45925</v>
      </c>
      <c r="H43" s="59"/>
      <c r="I43" s="24">
        <f>IFERROR(__xludf.DUMMYFUNCTION("""COMPUTED_VALUE"""),4375000.0)</f>
        <v>4375000</v>
      </c>
      <c r="J43" s="209">
        <f>IFERROR(__xludf.DUMMYFUNCTION("""COMPUTED_VALUE"""),481250.0)</f>
        <v>481250</v>
      </c>
      <c r="K43" s="224"/>
      <c r="L43" s="210">
        <f>IFERROR(__xludf.DUMMYFUNCTION("""COMPUTED_VALUE"""),4856250.0)</f>
        <v>4856250</v>
      </c>
      <c r="M43" s="224">
        <v>45925.0</v>
      </c>
      <c r="N43" s="205" t="s">
        <v>1138</v>
      </c>
      <c r="O43" s="196">
        <v>4856250.0</v>
      </c>
      <c r="P43" s="215">
        <v>45925.0</v>
      </c>
      <c r="Q43" s="222"/>
      <c r="R43" s="199">
        <f t="shared" si="3"/>
        <v>0</v>
      </c>
      <c r="S43" s="200" t="str">
        <f t="shared" si="4"/>
        <v>-</v>
      </c>
      <c r="T43" s="201" t="s">
        <v>508</v>
      </c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</row>
    <row r="44" ht="15.75" hidden="1" customHeight="1">
      <c r="A44" s="190"/>
      <c r="B44" s="190" t="str">
        <f>IFERROR(__xludf.DUMMYFUNCTION("""COMPUTED_VALUE"""),"Shopee")</f>
        <v>Shopee</v>
      </c>
      <c r="C44" s="60" t="str">
        <f>IFERROR(__xludf.DUMMYFUNCTION("""COMPUTED_VALUE"""),"Pembelian Pesanan (PKM Kelapa Dua) mop pel, kain lap, sikat gagang")</f>
        <v>Pembelian Pesanan (PKM Kelapa Dua) mop pel, kain lap, sikat gagang</v>
      </c>
      <c r="D44" s="73"/>
      <c r="E44" s="219" t="str">
        <f>IFERROR(__xludf.DUMMYFUNCTION("""COMPUTED_VALUE"""),"SP Belanja Kebersihan Puskesmas Kelapa Dua September 2025.pdf")</f>
        <v>SP Belanja Kebersihan Puskesmas Kelapa Dua September 2025.pdf</v>
      </c>
      <c r="F44" s="73"/>
      <c r="G44" s="73">
        <f>IFERROR(__xludf.DUMMYFUNCTION("""COMPUTED_VALUE"""),45925.0)</f>
        <v>45925</v>
      </c>
      <c r="H44" s="59"/>
      <c r="I44" s="24">
        <f>IFERROR(__xludf.DUMMYFUNCTION("""COMPUTED_VALUE"""),413664.0)</f>
        <v>413664</v>
      </c>
      <c r="J44" s="209"/>
      <c r="K44" s="224"/>
      <c r="L44" s="210">
        <f>IFERROR(__xludf.DUMMYFUNCTION("""COMPUTED_VALUE"""),413664.0)</f>
        <v>413664</v>
      </c>
      <c r="M44" s="224">
        <v>45925.0</v>
      </c>
      <c r="N44" s="205" t="s">
        <v>1138</v>
      </c>
      <c r="O44" s="196">
        <v>413664.0</v>
      </c>
      <c r="P44" s="215">
        <v>45925.0</v>
      </c>
      <c r="Q44" s="222"/>
      <c r="R44" s="199">
        <f t="shared" si="3"/>
        <v>0</v>
      </c>
      <c r="S44" s="200" t="str">
        <f t="shared" si="4"/>
        <v>-</v>
      </c>
      <c r="T44" s="201" t="s">
        <v>508</v>
      </c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</row>
    <row r="45" ht="15.75" hidden="1" customHeight="1">
      <c r="A45" s="190"/>
      <c r="B45" s="190" t="str">
        <f>IFERROR(__xludf.DUMMYFUNCTION("""COMPUTED_VALUE"""),"Shopee")</f>
        <v>Shopee</v>
      </c>
      <c r="C45" s="60" t="str">
        <f>IFERROR(__xludf.DUMMYFUNCTION("""COMPUTED_VALUE"""),"Pembelian Pesanan (PKM Kelapa Dua) pembersih kaca")</f>
        <v>Pembelian Pesanan (PKM Kelapa Dua) pembersih kaca</v>
      </c>
      <c r="D45" s="73"/>
      <c r="E45" s="219" t="str">
        <f>IFERROR(__xludf.DUMMYFUNCTION("""COMPUTED_VALUE"""),"SP Belanja Kebersihan Puskesmas Kelapa Dua September 2025.pdf")</f>
        <v>SP Belanja Kebersihan Puskesmas Kelapa Dua September 2025.pdf</v>
      </c>
      <c r="F45" s="73"/>
      <c r="G45" s="73">
        <f>IFERROR(__xludf.DUMMYFUNCTION("""COMPUTED_VALUE"""),45925.0)</f>
        <v>45925</v>
      </c>
      <c r="H45" s="59"/>
      <c r="I45" s="24">
        <f>IFERROR(__xludf.DUMMYFUNCTION("""COMPUTED_VALUE"""),378500.0)</f>
        <v>378500</v>
      </c>
      <c r="J45" s="209"/>
      <c r="K45" s="224"/>
      <c r="L45" s="210">
        <f>IFERROR(__xludf.DUMMYFUNCTION("""COMPUTED_VALUE"""),378500.0)</f>
        <v>378500</v>
      </c>
      <c r="M45" s="224">
        <v>45925.0</v>
      </c>
      <c r="N45" s="205" t="s">
        <v>1138</v>
      </c>
      <c r="O45" s="196">
        <v>378500.0</v>
      </c>
      <c r="P45" s="215">
        <v>45925.0</v>
      </c>
      <c r="Q45" s="222"/>
      <c r="R45" s="199">
        <f t="shared" si="3"/>
        <v>0</v>
      </c>
      <c r="S45" s="200" t="str">
        <f t="shared" si="4"/>
        <v>-</v>
      </c>
      <c r="T45" s="201" t="s">
        <v>508</v>
      </c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</row>
    <row r="46" ht="15.75" hidden="1" customHeight="1">
      <c r="A46" s="190"/>
      <c r="B46" s="190" t="str">
        <f>IFERROR(__xludf.DUMMYFUNCTION("""COMPUTED_VALUE"""),"Shopee")</f>
        <v>Shopee</v>
      </c>
      <c r="C46" s="60" t="str">
        <f>IFERROR(__xludf.DUMMYFUNCTION("""COMPUTED_VALUE"""),"Pembelian Pesanan (PKM Kelapa Dua) hand sanitizer")</f>
        <v>Pembelian Pesanan (PKM Kelapa Dua) hand sanitizer</v>
      </c>
      <c r="D46" s="73"/>
      <c r="E46" s="219" t="str">
        <f>IFERROR(__xludf.DUMMYFUNCTION("""COMPUTED_VALUE"""),"SP Belanja Kebersihan Puskesmas Kelapa Dua September 2025.pdf")</f>
        <v>SP Belanja Kebersihan Puskesmas Kelapa Dua September 2025.pdf</v>
      </c>
      <c r="F46" s="73"/>
      <c r="G46" s="73">
        <f>IFERROR(__xludf.DUMMYFUNCTION("""COMPUTED_VALUE"""),45925.0)</f>
        <v>45925</v>
      </c>
      <c r="H46" s="59"/>
      <c r="I46" s="24">
        <f>IFERROR(__xludf.DUMMYFUNCTION("""COMPUTED_VALUE"""),436963.0)</f>
        <v>436963</v>
      </c>
      <c r="J46" s="209"/>
      <c r="K46" s="224"/>
      <c r="L46" s="210">
        <f>IFERROR(__xludf.DUMMYFUNCTION("""COMPUTED_VALUE"""),436963.0)</f>
        <v>436963</v>
      </c>
      <c r="M46" s="224">
        <v>45925.0</v>
      </c>
      <c r="N46" s="205" t="s">
        <v>1138</v>
      </c>
      <c r="O46" s="196">
        <v>436963.0</v>
      </c>
      <c r="P46" s="215">
        <v>45925.0</v>
      </c>
      <c r="Q46" s="222"/>
      <c r="R46" s="199">
        <f t="shared" si="3"/>
        <v>0</v>
      </c>
      <c r="S46" s="200"/>
      <c r="T46" s="201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</row>
    <row r="47" ht="15.75" hidden="1" customHeight="1">
      <c r="A47" s="190"/>
      <c r="B47" s="190" t="str">
        <f>IFERROR(__xludf.DUMMYFUNCTION("""COMPUTED_VALUE"""),"Shopee")</f>
        <v>Shopee</v>
      </c>
      <c r="C47" s="60" t="str">
        <f>IFERROR(__xludf.DUMMYFUNCTION("""COMPUTED_VALUE"""),"Pembelian Pesanan (PKM Kelapa Dua) karbol, cuci tangan, cuci piring")</f>
        <v>Pembelian Pesanan (PKM Kelapa Dua) karbol, cuci tangan, cuci piring</v>
      </c>
      <c r="D47" s="73"/>
      <c r="E47" s="219" t="str">
        <f>IFERROR(__xludf.DUMMYFUNCTION("""COMPUTED_VALUE"""),"SP Belanja Kebersihan Puskesmas Kelapa Dua September 2025.pdf")</f>
        <v>SP Belanja Kebersihan Puskesmas Kelapa Dua September 2025.pdf</v>
      </c>
      <c r="F47" s="73"/>
      <c r="G47" s="73">
        <f>IFERROR(__xludf.DUMMYFUNCTION("""COMPUTED_VALUE"""),45925.0)</f>
        <v>45925</v>
      </c>
      <c r="H47" s="59"/>
      <c r="I47" s="24">
        <f>IFERROR(__xludf.DUMMYFUNCTION("""COMPUTED_VALUE"""),565800.0)</f>
        <v>565800</v>
      </c>
      <c r="J47" s="209"/>
      <c r="K47" s="224"/>
      <c r="L47" s="210">
        <f>IFERROR(__xludf.DUMMYFUNCTION("""COMPUTED_VALUE"""),565800.0)</f>
        <v>565800</v>
      </c>
      <c r="M47" s="224">
        <v>45925.0</v>
      </c>
      <c r="N47" s="205" t="s">
        <v>1138</v>
      </c>
      <c r="O47" s="196">
        <v>565800.0</v>
      </c>
      <c r="P47" s="215">
        <v>45925.0</v>
      </c>
      <c r="Q47" s="222"/>
      <c r="R47" s="199">
        <f t="shared" si="3"/>
        <v>0</v>
      </c>
      <c r="S47" s="200"/>
      <c r="T47" s="201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</row>
    <row r="48" ht="15.75" hidden="1" customHeight="1">
      <c r="A48" s="190"/>
      <c r="B48" s="190" t="str">
        <f>IFERROR(__xludf.DUMMYFUNCTION("""COMPUTED_VALUE"""),"Shopee")</f>
        <v>Shopee</v>
      </c>
      <c r="C48" s="60" t="str">
        <f>IFERROR(__xludf.DUMMYFUNCTION("""COMPUTED_VALUE"""),"Pembelian Pesanan (PKM Kelapa Dua) byclin")</f>
        <v>Pembelian Pesanan (PKM Kelapa Dua) byclin</v>
      </c>
      <c r="D48" s="73"/>
      <c r="E48" s="219" t="str">
        <f>IFERROR(__xludf.DUMMYFUNCTION("""COMPUTED_VALUE"""),"SP Belanja Kebersihan Puskesmas Kelapa Dua September 2025.pdf")</f>
        <v>SP Belanja Kebersihan Puskesmas Kelapa Dua September 2025.pdf</v>
      </c>
      <c r="F48" s="73"/>
      <c r="G48" s="73">
        <f>IFERROR(__xludf.DUMMYFUNCTION("""COMPUTED_VALUE"""),45925.0)</f>
        <v>45925</v>
      </c>
      <c r="H48" s="59"/>
      <c r="I48" s="24">
        <f>IFERROR(__xludf.DUMMYFUNCTION("""COMPUTED_VALUE"""),509557.0)</f>
        <v>509557</v>
      </c>
      <c r="J48" s="209"/>
      <c r="K48" s="224"/>
      <c r="L48" s="210">
        <f>IFERROR(__xludf.DUMMYFUNCTION("""COMPUTED_VALUE"""),509557.0)</f>
        <v>509557</v>
      </c>
      <c r="M48" s="224">
        <v>45925.0</v>
      </c>
      <c r="N48" s="205" t="s">
        <v>1138</v>
      </c>
      <c r="O48" s="196">
        <v>509557.0</v>
      </c>
      <c r="P48" s="215">
        <v>45925.0</v>
      </c>
      <c r="Q48" s="222"/>
      <c r="R48" s="199">
        <f t="shared" si="3"/>
        <v>0</v>
      </c>
      <c r="S48" s="200"/>
      <c r="T48" s="201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</row>
    <row r="49" ht="15.75" hidden="1" customHeight="1">
      <c r="A49" s="190"/>
      <c r="B49" s="190" t="str">
        <f>IFERROR(__xludf.DUMMYFUNCTION("""COMPUTED_VALUE"""),"Shopee")</f>
        <v>Shopee</v>
      </c>
      <c r="C49" s="60" t="str">
        <f>IFERROR(__xludf.DUMMYFUNCTION("""COMPUTED_VALUE"""),"Pembelian Pesanan (PKM Kelapa Dua) porstex")</f>
        <v>Pembelian Pesanan (PKM Kelapa Dua) porstex</v>
      </c>
      <c r="D49" s="73"/>
      <c r="E49" s="219" t="str">
        <f>IFERROR(__xludf.DUMMYFUNCTION("""COMPUTED_VALUE"""),"SP Belanja Kebersihan Puskesmas Kelapa Dua September 2025.pdf")</f>
        <v>SP Belanja Kebersihan Puskesmas Kelapa Dua September 2025.pdf</v>
      </c>
      <c r="F49" s="73"/>
      <c r="G49" s="73">
        <f>IFERROR(__xludf.DUMMYFUNCTION("""COMPUTED_VALUE"""),45925.0)</f>
        <v>45925</v>
      </c>
      <c r="H49" s="59"/>
      <c r="I49" s="24">
        <f>IFERROR(__xludf.DUMMYFUNCTION("""COMPUTED_VALUE"""),710160.0)</f>
        <v>710160</v>
      </c>
      <c r="J49" s="209"/>
      <c r="K49" s="224"/>
      <c r="L49" s="210">
        <f>IFERROR(__xludf.DUMMYFUNCTION("""COMPUTED_VALUE"""),710160.0)</f>
        <v>710160</v>
      </c>
      <c r="M49" s="224">
        <v>45925.0</v>
      </c>
      <c r="N49" s="205" t="s">
        <v>1138</v>
      </c>
      <c r="O49" s="196">
        <v>710160.0</v>
      </c>
      <c r="P49" s="215">
        <v>45925.0</v>
      </c>
      <c r="Q49" s="222"/>
      <c r="R49" s="199">
        <f t="shared" si="3"/>
        <v>0</v>
      </c>
      <c r="S49" s="200"/>
      <c r="T49" s="201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</row>
    <row r="50" ht="15.75" hidden="1" customHeight="1">
      <c r="A50" s="190"/>
      <c r="B50" s="190" t="str">
        <f>IFERROR(__xludf.DUMMYFUNCTION("""COMPUTED_VALUE"""),"Shopee")</f>
        <v>Shopee</v>
      </c>
      <c r="C50" s="60" t="str">
        <f>IFERROR(__xludf.DUMMYFUNCTION("""COMPUTED_VALUE"""),"Pembelian Pesanan (PKM Bojong Gede) Spons Sapu Lidi Sapu lantai kain pel")</f>
        <v>Pembelian Pesanan (PKM Bojong Gede) Spons Sapu Lidi Sapu lantai kain pel</v>
      </c>
      <c r="D50" s="73"/>
      <c r="E50" s="219" t="str">
        <f>IFERROR(__xludf.DUMMYFUNCTION("""COMPUTED_VALUE"""),"surat-pesanan-EP-01K64RKYR001N8JKV3440C0J3N Pkm Bojong Gede (1).pdf")</f>
        <v>surat-pesanan-EP-01K64RKYR001N8JKV3440C0J3N Pkm Bojong Gede (1).pdf</v>
      </c>
      <c r="F50" s="73"/>
      <c r="G50" s="73">
        <f>IFERROR(__xludf.DUMMYFUNCTION("""COMPUTED_VALUE"""),45930.0)</f>
        <v>45930</v>
      </c>
      <c r="H50" s="59"/>
      <c r="I50" s="24">
        <f>IFERROR(__xludf.DUMMYFUNCTION("""COMPUTED_VALUE"""),356981.0)</f>
        <v>356981</v>
      </c>
      <c r="J50" s="227"/>
      <c r="K50" s="228"/>
      <c r="L50" s="229">
        <f>IFERROR(__xludf.DUMMYFUNCTION("""COMPUTED_VALUE"""),356981.0)</f>
        <v>356981</v>
      </c>
      <c r="M50" s="224">
        <v>45930.0</v>
      </c>
      <c r="N50" s="205" t="s">
        <v>1138</v>
      </c>
      <c r="O50" s="196">
        <v>356981.0</v>
      </c>
      <c r="P50" s="215">
        <v>45930.0</v>
      </c>
      <c r="Q50" s="222"/>
      <c r="R50" s="199">
        <f t="shared" si="3"/>
        <v>0</v>
      </c>
      <c r="S50" s="200"/>
      <c r="T50" s="201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</row>
    <row r="51" ht="15.75" hidden="1" customHeight="1">
      <c r="A51" s="190"/>
      <c r="B51" s="190" t="str">
        <f>IFERROR(__xludf.DUMMYFUNCTION("""COMPUTED_VALUE"""),"Shopee")</f>
        <v>Shopee</v>
      </c>
      <c r="C51" s="60" t="str">
        <f>IFERROR(__xludf.DUMMYFUNCTION("""COMPUTED_VALUE"""),"Pembelian Pesanan (PKM Bojong Gede) Karbol dan Sabun cuci tangan")</f>
        <v>Pembelian Pesanan (PKM Bojong Gede) Karbol dan Sabun cuci tangan</v>
      </c>
      <c r="D51" s="73"/>
      <c r="E51" s="219" t="str">
        <f>IFERROR(__xludf.DUMMYFUNCTION("""COMPUTED_VALUE"""),"surat-pesanan-EP-01K64RKYR001N8JKV3440C0J3N Pkm Bojong Gede (1).pdf")</f>
        <v>surat-pesanan-EP-01K64RKYR001N8JKV3440C0J3N Pkm Bojong Gede (1).pdf</v>
      </c>
      <c r="F51" s="73"/>
      <c r="G51" s="73">
        <f>IFERROR(__xludf.DUMMYFUNCTION("""COMPUTED_VALUE"""),45930.0)</f>
        <v>45930</v>
      </c>
      <c r="H51" s="59"/>
      <c r="I51" s="24">
        <f>IFERROR(__xludf.DUMMYFUNCTION("""COMPUTED_VALUE"""),1255860.0)</f>
        <v>1255860</v>
      </c>
      <c r="J51" s="227"/>
      <c r="K51" s="228"/>
      <c r="L51" s="229">
        <f>IFERROR(__xludf.DUMMYFUNCTION("""COMPUTED_VALUE"""),1255860.0)</f>
        <v>1255860</v>
      </c>
      <c r="M51" s="224">
        <v>45930.0</v>
      </c>
      <c r="N51" s="205" t="s">
        <v>1138</v>
      </c>
      <c r="O51" s="196">
        <v>1255860.0</v>
      </c>
      <c r="P51" s="215">
        <v>45930.0</v>
      </c>
      <c r="Q51" s="222"/>
      <c r="R51" s="199">
        <f t="shared" si="3"/>
        <v>0</v>
      </c>
      <c r="S51" s="200"/>
      <c r="T51" s="201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</row>
    <row r="52" ht="15.75" hidden="1" customHeight="1">
      <c r="A52" s="190"/>
      <c r="B52" s="190" t="str">
        <f>IFERROR(__xludf.DUMMYFUNCTION("""COMPUTED_VALUE"""),"Shopee")</f>
        <v>Shopee</v>
      </c>
      <c r="C52" s="60" t="str">
        <f>IFERROR(__xludf.DUMMYFUNCTION("""COMPUTED_VALUE"""),"Pembelian Pesanan (PKM Bojong Gede) Tissue")</f>
        <v>Pembelian Pesanan (PKM Bojong Gede) Tissue</v>
      </c>
      <c r="D52" s="73"/>
      <c r="E52" s="219" t="str">
        <f>IFERROR(__xludf.DUMMYFUNCTION("""COMPUTED_VALUE"""),"surat-pesanan-EP-01K64RKYR001N8JKV3440C0J3N Pkm Bojong Gede (1).pdf")</f>
        <v>surat-pesanan-EP-01K64RKYR001N8JKV3440C0J3N Pkm Bojong Gede (1).pdf</v>
      </c>
      <c r="F52" s="73"/>
      <c r="G52" s="73">
        <f>IFERROR(__xludf.DUMMYFUNCTION("""COMPUTED_VALUE"""),45930.0)</f>
        <v>45930</v>
      </c>
      <c r="H52" s="59"/>
      <c r="I52" s="24">
        <f>IFERROR(__xludf.DUMMYFUNCTION("""COMPUTED_VALUE"""),912900.0)</f>
        <v>912900</v>
      </c>
      <c r="J52" s="227"/>
      <c r="K52" s="228"/>
      <c r="L52" s="229">
        <f>IFERROR(__xludf.DUMMYFUNCTION("""COMPUTED_VALUE"""),912900.0)</f>
        <v>912900</v>
      </c>
      <c r="M52" s="224">
        <v>45930.0</v>
      </c>
      <c r="N52" s="205" t="s">
        <v>1138</v>
      </c>
      <c r="O52" s="196">
        <v>912900.0</v>
      </c>
      <c r="P52" s="215">
        <v>45930.0</v>
      </c>
      <c r="Q52" s="222"/>
      <c r="R52" s="199">
        <f t="shared" si="3"/>
        <v>0</v>
      </c>
      <c r="S52" s="200"/>
      <c r="T52" s="201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</row>
    <row r="53" ht="15.75" hidden="1" customHeight="1">
      <c r="A53" s="190"/>
      <c r="B53" s="190" t="str">
        <f>IFERROR(__xludf.DUMMYFUNCTION("""COMPUTED_VALUE"""),"PT. Bintang Setya Media")</f>
        <v>PT. Bintang Setya Media</v>
      </c>
      <c r="C53" s="60" t="str">
        <f>IFERROR(__xludf.DUMMYFUNCTION("""COMPUTED_VALUE"""),"Pembayaran Service Printer")</f>
        <v>Pembayaran Service Printer</v>
      </c>
      <c r="D53" s="73"/>
      <c r="E53" s="221"/>
      <c r="F53" s="73"/>
      <c r="G53" s="73">
        <f>IFERROR(__xludf.DUMMYFUNCTION("""COMPUTED_VALUE"""),45919.0)</f>
        <v>45919</v>
      </c>
      <c r="H53" s="59"/>
      <c r="I53" s="24">
        <f>IFERROR(__xludf.DUMMYFUNCTION("""COMPUTED_VALUE"""),780000.0)</f>
        <v>780000</v>
      </c>
      <c r="J53" s="227"/>
      <c r="K53" s="228"/>
      <c r="L53" s="229">
        <f>IFERROR(__xludf.DUMMYFUNCTION("""COMPUTED_VALUE"""),780000.0)</f>
        <v>780000</v>
      </c>
      <c r="M53" s="224">
        <v>45930.0</v>
      </c>
      <c r="N53" s="205" t="s">
        <v>1138</v>
      </c>
      <c r="O53" s="196">
        <v>780000.0</v>
      </c>
      <c r="P53" s="215">
        <v>45930.0</v>
      </c>
      <c r="Q53" s="222"/>
      <c r="R53" s="199">
        <f t="shared" si="3"/>
        <v>0</v>
      </c>
      <c r="S53" s="200"/>
      <c r="T53" s="201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</row>
    <row r="54" ht="15.75" hidden="1" customHeight="1">
      <c r="A54" s="190"/>
      <c r="B54" s="190" t="str">
        <f>IFERROR(__xludf.DUMMYFUNCTION("""COMPUTED_VALUE"""),"PT. Bintang Setya Media")</f>
        <v>PT. Bintang Setya Media</v>
      </c>
      <c r="C54" s="60" t="str">
        <f>IFERROR(__xludf.DUMMYFUNCTION("""COMPUTED_VALUE"""),"Pembelian Tinta Printer")</f>
        <v>Pembelian Tinta Printer</v>
      </c>
      <c r="D54" s="73"/>
      <c r="E54" s="221"/>
      <c r="F54" s="73"/>
      <c r="G54" s="73">
        <f>IFERROR(__xludf.DUMMYFUNCTION("""COMPUTED_VALUE"""),45919.0)</f>
        <v>45919</v>
      </c>
      <c r="H54" s="59"/>
      <c r="I54" s="24">
        <f>IFERROR(__xludf.DUMMYFUNCTION("""COMPUTED_VALUE"""),500000.0)</f>
        <v>500000</v>
      </c>
      <c r="J54" s="227"/>
      <c r="K54" s="228"/>
      <c r="L54" s="229">
        <f>IFERROR(__xludf.DUMMYFUNCTION("""COMPUTED_VALUE"""),500000.0)</f>
        <v>500000</v>
      </c>
      <c r="M54" s="224">
        <v>45930.0</v>
      </c>
      <c r="N54" s="205" t="s">
        <v>1138</v>
      </c>
      <c r="O54" s="196">
        <v>500000.0</v>
      </c>
      <c r="P54" s="215">
        <v>45930.0</v>
      </c>
      <c r="Q54" s="222"/>
      <c r="R54" s="199">
        <f t="shared" si="3"/>
        <v>0</v>
      </c>
      <c r="S54" s="200"/>
      <c r="T54" s="201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  <row r="55" ht="15.75" hidden="1" customHeight="1">
      <c r="A55" s="225"/>
      <c r="B55" s="225" t="str">
        <f>IFERROR(__xludf.DUMMYFUNCTION("""COMPUTED_VALUE"""),"PT. Top Point Medical")</f>
        <v>PT. Top Point Medical</v>
      </c>
      <c r="C55" s="226" t="str">
        <f>IFERROR(__xludf.DUMMYFUNCTION("""COMPUTED_VALUE"""),"Pembelian Pesanan RS Suyoto")</f>
        <v>Pembelian Pesanan RS Suyoto</v>
      </c>
      <c r="D55" s="230"/>
      <c r="E55" s="231" t="str">
        <f>IFERROR(__xludf.DUMMYFUNCTION("""COMPUTED_VALUE"""),"Pesanan RS Suyoto")</f>
        <v>Pesanan RS Suyoto</v>
      </c>
      <c r="F55" s="232" t="str">
        <f>IFERROR(__xludf.DUMMYFUNCTION("""COMPUTED_VALUE"""),"PO ke TP (Pesanan RS Suyoto)")</f>
        <v>PO ke TP (Pesanan RS Suyoto)</v>
      </c>
      <c r="G55" s="230">
        <f>IFERROR(__xludf.DUMMYFUNCTION("""COMPUTED_VALUE"""),45911.0)</f>
        <v>45911</v>
      </c>
      <c r="H55" s="233"/>
      <c r="I55" s="234">
        <f>IFERROR(__xludf.DUMMYFUNCTION("""COMPUTED_VALUE"""),2760901.0)</f>
        <v>2760901</v>
      </c>
      <c r="J55" s="235">
        <f>IFERROR(__xludf.DUMMYFUNCTION("""COMPUTED_VALUE"""),303699.0)</f>
        <v>303699</v>
      </c>
      <c r="K55" s="236"/>
      <c r="L55" s="237">
        <f>IFERROR(__xludf.DUMMYFUNCTION("""COMPUTED_VALUE"""),3064600.0)</f>
        <v>3064600</v>
      </c>
      <c r="M55" s="238">
        <v>45930.0</v>
      </c>
      <c r="N55" s="239" t="s">
        <v>1138</v>
      </c>
      <c r="O55" s="240">
        <v>3064600.0</v>
      </c>
      <c r="P55" s="241">
        <v>45930.0</v>
      </c>
      <c r="Q55" s="242"/>
      <c r="R55" s="234">
        <f t="shared" si="3"/>
        <v>0</v>
      </c>
      <c r="S55" s="243"/>
      <c r="T55" s="244"/>
      <c r="U55" s="108"/>
      <c r="V55" s="10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</row>
    <row r="56" ht="15.75" hidden="1" customHeight="1">
      <c r="A56" s="190"/>
      <c r="B56" s="190" t="str">
        <f>IFERROR(__xludf.DUMMYFUNCTION("""COMPUTED_VALUE"""),"PT. Whira Pitoe Usaha Bersama")</f>
        <v>PT. Whira Pitoe Usaha Bersama</v>
      </c>
      <c r="C56" s="60" t="str">
        <f>IFERROR(__xludf.DUMMYFUNCTION("""COMPUTED_VALUE"""),"Pembelian Biomaxima Biopath (Dinkes Tasikmalaya)")</f>
        <v>Pembelian Biomaxima Biopath (Dinkes Tasikmalaya)</v>
      </c>
      <c r="D56" s="73"/>
      <c r="E56" s="219" t="str">
        <f>IFERROR(__xludf.DUMMYFUNCTION("""COMPUTED_VALUE"""),"SP 46 Genta (1).pdf")</f>
        <v>SP 46 Genta (1).pdf</v>
      </c>
      <c r="F56" s="73"/>
      <c r="G56" s="73">
        <f>IFERROR(__xludf.DUMMYFUNCTION("""COMPUTED_VALUE"""),45926.0)</f>
        <v>45926</v>
      </c>
      <c r="H56" s="59"/>
      <c r="I56" s="24">
        <f>IFERROR(__xludf.DUMMYFUNCTION("""COMPUTED_VALUE"""),1831351.0)</f>
        <v>1831351</v>
      </c>
      <c r="J56" s="227">
        <f>IFERROR(__xludf.DUMMYFUNCTION("""COMPUTED_VALUE"""),201449.0)</f>
        <v>201449</v>
      </c>
      <c r="K56" s="228"/>
      <c r="L56" s="229">
        <f>IFERROR(__xludf.DUMMYFUNCTION("""COMPUTED_VALUE"""),2032800.0)</f>
        <v>2032800</v>
      </c>
      <c r="M56" s="224">
        <v>45926.0</v>
      </c>
      <c r="N56" s="205" t="s">
        <v>1138</v>
      </c>
      <c r="O56" s="196">
        <v>2032800.0</v>
      </c>
      <c r="P56" s="215">
        <v>45926.0</v>
      </c>
      <c r="Q56" s="222"/>
      <c r="R56" s="199">
        <f t="shared" si="3"/>
        <v>0</v>
      </c>
      <c r="S56" s="200"/>
      <c r="T56" s="201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</row>
    <row r="57" ht="15.75" hidden="1" customHeight="1">
      <c r="A57" s="190"/>
      <c r="B57" s="190" t="str">
        <f>IFERROR(__xludf.DUMMYFUNCTION("""COMPUTED_VALUE"""),"PT. Sangiang Karya Mandiri")</f>
        <v>PT. Sangiang Karya Mandiri</v>
      </c>
      <c r="C57" s="60" t="str">
        <f>IFERROR(__xludf.DUMMYFUNCTION("""COMPUTED_VALUE"""),"Pembelian Egens Combo Diagnostic Kit Multi Drug Panel (Dinkes Tasikmalaya)")</f>
        <v>Pembelian Egens Combo Diagnostic Kit Multi Drug Panel (Dinkes Tasikmalaya)</v>
      </c>
      <c r="D57" s="73"/>
      <c r="E57" s="219" t="str">
        <f>IFERROR(__xludf.DUMMYFUNCTION("""COMPUTED_VALUE"""),"SP 46 Genta (1).pdf")</f>
        <v>SP 46 Genta (1).pdf</v>
      </c>
      <c r="F57" s="73"/>
      <c r="G57" s="73">
        <f>IFERROR(__xludf.DUMMYFUNCTION("""COMPUTED_VALUE"""),45925.0)</f>
        <v>45925</v>
      </c>
      <c r="H57" s="59"/>
      <c r="I57" s="24">
        <f>IFERROR(__xludf.DUMMYFUNCTION("""COMPUTED_VALUE"""),4375000.0)</f>
        <v>4375000</v>
      </c>
      <c r="J57" s="227">
        <f>IFERROR(__xludf.DUMMYFUNCTION("""COMPUTED_VALUE"""),481250.0)</f>
        <v>481250</v>
      </c>
      <c r="K57" s="228"/>
      <c r="L57" s="229">
        <f>IFERROR(__xludf.DUMMYFUNCTION("""COMPUTED_VALUE"""),4856250.0)</f>
        <v>4856250</v>
      </c>
      <c r="M57" s="224">
        <v>45926.0</v>
      </c>
      <c r="N57" s="205" t="s">
        <v>1138</v>
      </c>
      <c r="O57" s="196">
        <v>4856250.0</v>
      </c>
      <c r="P57" s="215">
        <v>45926.0</v>
      </c>
      <c r="Q57" s="222"/>
      <c r="R57" s="199">
        <f t="shared" si="3"/>
        <v>0</v>
      </c>
      <c r="S57" s="200"/>
      <c r="T57" s="201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</row>
    <row r="58" ht="15.75" hidden="1" customHeight="1">
      <c r="A58" s="190"/>
      <c r="B58" s="190" t="str">
        <f>IFERROR(__xludf.DUMMYFUNCTION("""COMPUTED_VALUE"""),"PT. BSM")</f>
        <v>PT. BSM</v>
      </c>
      <c r="C58" s="60" t="str">
        <f>IFERROR(__xludf.DUMMYFUNCTION("""COMPUTED_VALUE"""),"Pembelian Monetes ")</f>
        <v>Pembelian Monetes </v>
      </c>
      <c r="D58" s="73"/>
      <c r="E58" s="219" t="str">
        <f>IFERROR(__xludf.DUMMYFUNCTION("""COMPUTED_VALUE"""),"SP 46 Genta (1).pdf")</f>
        <v>SP 46 Genta (1).pdf</v>
      </c>
      <c r="F58" s="73"/>
      <c r="G58" s="73">
        <f>IFERROR(__xludf.DUMMYFUNCTION("""COMPUTED_VALUE"""),45925.0)</f>
        <v>45925</v>
      </c>
      <c r="H58" s="59"/>
      <c r="I58" s="24">
        <f>IFERROR(__xludf.DUMMYFUNCTION("""COMPUTED_VALUE"""),567572.0)</f>
        <v>567572</v>
      </c>
      <c r="J58" s="227">
        <f>IFERROR(__xludf.DUMMYFUNCTION("""COMPUTED_VALUE"""),62433.0)</f>
        <v>62433</v>
      </c>
      <c r="K58" s="228"/>
      <c r="L58" s="229">
        <f>IFERROR(__xludf.DUMMYFUNCTION("""COMPUTED_VALUE"""),630005.0)</f>
        <v>630005</v>
      </c>
      <c r="M58" s="224">
        <v>45926.0</v>
      </c>
      <c r="N58" s="205" t="s">
        <v>1138</v>
      </c>
      <c r="O58" s="196">
        <v>630005.0</v>
      </c>
      <c r="P58" s="215">
        <v>45926.0</v>
      </c>
      <c r="Q58" s="222"/>
      <c r="R58" s="199">
        <f t="shared" si="3"/>
        <v>0</v>
      </c>
      <c r="S58" s="200"/>
      <c r="T58" s="201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</row>
    <row r="59" ht="15.75" hidden="1" customHeight="1">
      <c r="A59" s="190"/>
      <c r="B59" s="190"/>
      <c r="C59" s="60"/>
      <c r="D59" s="73"/>
      <c r="E59" s="221"/>
      <c r="F59" s="73"/>
      <c r="G59" s="73"/>
      <c r="H59" s="59"/>
      <c r="I59" s="24"/>
      <c r="J59" s="227"/>
      <c r="K59" s="228"/>
      <c r="L59" s="229"/>
      <c r="M59" s="228"/>
      <c r="N59" s="205"/>
      <c r="O59" s="199"/>
      <c r="P59" s="217"/>
      <c r="Q59" s="222"/>
      <c r="R59" s="199">
        <f t="shared" si="3"/>
        <v>0</v>
      </c>
      <c r="S59" s="200"/>
      <c r="T59" s="201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</row>
    <row r="60" ht="15.75" hidden="1" customHeight="1">
      <c r="A60" s="190"/>
      <c r="B60" s="190" t="str">
        <f>IFERROR(__xludf.DUMMYFUNCTION("""COMPUTED_VALUE"""),"Pramuka")</f>
        <v>Pramuka</v>
      </c>
      <c r="C60" s="60" t="str">
        <f>IFERROR(__xludf.DUMMYFUNCTION("""COMPUTED_VALUE"""),"Pembelian 70 Box sarung tangan (Pesanan PKM Sentul) ")</f>
        <v>Pembelian 70 Box sarung tangan (Pesanan PKM Sentul) </v>
      </c>
      <c r="D60" s="73"/>
      <c r="E60" s="219" t="str">
        <f>IFERROR(__xludf.DUMMYFUNCTION("""COMPUTED_VALUE"""),"BMHP Sentul.pdf")</f>
        <v>BMHP Sentul.pdf</v>
      </c>
      <c r="F60" s="73"/>
      <c r="G60" s="73">
        <f>IFERROR(__xludf.DUMMYFUNCTION("""COMPUTED_VALUE"""),45937.0)</f>
        <v>45937</v>
      </c>
      <c r="H60" s="59"/>
      <c r="I60" s="24">
        <f>IFERROR(__xludf.DUMMYFUNCTION("""COMPUTED_VALUE"""),2800000.0)</f>
        <v>2800000</v>
      </c>
      <c r="J60" s="227"/>
      <c r="K60" s="228"/>
      <c r="L60" s="229">
        <f>IFERROR(__xludf.DUMMYFUNCTION("""COMPUTED_VALUE"""),2800000.0)</f>
        <v>2800000</v>
      </c>
      <c r="M60" s="224">
        <v>45937.0</v>
      </c>
      <c r="N60" s="205" t="s">
        <v>1138</v>
      </c>
      <c r="O60" s="196">
        <v>2800000.0</v>
      </c>
      <c r="P60" s="215">
        <v>45937.0</v>
      </c>
      <c r="Q60" s="222"/>
      <c r="R60" s="199">
        <f t="shared" si="3"/>
        <v>0</v>
      </c>
      <c r="S60" s="200"/>
      <c r="T60" s="201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</row>
    <row r="61" ht="15.75" hidden="1" customHeight="1">
      <c r="A61" s="190"/>
      <c r="B61" s="190" t="str">
        <f>IFERROR(__xludf.DUMMYFUNCTION("""COMPUTED_VALUE"""),"Shopee")</f>
        <v>Shopee</v>
      </c>
      <c r="C61" s="60" t="str">
        <f>IFERROR(__xludf.DUMMYFUNCTION("""COMPUTED_VALUE"""),"Alcohol Swab (PKM SENTUL) 50 Box")</f>
        <v>Alcohol Swab (PKM SENTUL) 50 Box</v>
      </c>
      <c r="D61" s="73"/>
      <c r="E61" s="219" t="str">
        <f>IFERROR(__xludf.DUMMYFUNCTION("""COMPUTED_VALUE"""),"BMHP Sentul.pdf")</f>
        <v>BMHP Sentul.pdf</v>
      </c>
      <c r="F61" s="73"/>
      <c r="G61" s="73">
        <f>IFERROR(__xludf.DUMMYFUNCTION("""COMPUTED_VALUE"""),45937.0)</f>
        <v>45937</v>
      </c>
      <c r="H61" s="59"/>
      <c r="I61" s="24">
        <f>IFERROR(__xludf.DUMMYFUNCTION("""COMPUTED_VALUE"""),394000.0)</f>
        <v>394000</v>
      </c>
      <c r="J61" s="227"/>
      <c r="K61" s="228"/>
      <c r="L61" s="229">
        <f>IFERROR(__xludf.DUMMYFUNCTION("""COMPUTED_VALUE"""),394000.0)</f>
        <v>394000</v>
      </c>
      <c r="M61" s="224">
        <v>45937.0</v>
      </c>
      <c r="N61" s="205" t="s">
        <v>1138</v>
      </c>
      <c r="O61" s="196">
        <v>394000.0</v>
      </c>
      <c r="P61" s="215">
        <v>45937.0</v>
      </c>
      <c r="Q61" s="222"/>
      <c r="R61" s="199">
        <f t="shared" si="3"/>
        <v>0</v>
      </c>
      <c r="S61" s="200"/>
      <c r="T61" s="201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</row>
    <row r="62" ht="15.75" hidden="1" customHeight="1">
      <c r="A62" s="190"/>
      <c r="B62" s="190" t="str">
        <f>IFERROR(__xludf.DUMMYFUNCTION("""COMPUTED_VALUE"""),"Shopee")</f>
        <v>Shopee</v>
      </c>
      <c r="C62" s="60" t="str">
        <f>IFERROR(__xludf.DUMMYFUNCTION("""COMPUTED_VALUE"""),"Masker 50 Box (PKM Sentul)")</f>
        <v>Masker 50 Box (PKM Sentul)</v>
      </c>
      <c r="D62" s="73"/>
      <c r="E62" s="219" t="str">
        <f>IFERROR(__xludf.DUMMYFUNCTION("""COMPUTED_VALUE"""),"BMHP Sentul.pdf")</f>
        <v>BMHP Sentul.pdf</v>
      </c>
      <c r="F62" s="73"/>
      <c r="G62" s="73">
        <f>IFERROR(__xludf.DUMMYFUNCTION("""COMPUTED_VALUE"""),45937.0)</f>
        <v>45937</v>
      </c>
      <c r="H62" s="59"/>
      <c r="I62" s="24">
        <f>IFERROR(__xludf.DUMMYFUNCTION("""COMPUTED_VALUE"""),527800.0)</f>
        <v>527800</v>
      </c>
      <c r="J62" s="227"/>
      <c r="K62" s="228"/>
      <c r="L62" s="229">
        <f>IFERROR(__xludf.DUMMYFUNCTION("""COMPUTED_VALUE"""),527800.0)</f>
        <v>527800</v>
      </c>
      <c r="M62" s="224">
        <v>45937.0</v>
      </c>
      <c r="N62" s="205" t="s">
        <v>1138</v>
      </c>
      <c r="O62" s="196">
        <v>527800.0</v>
      </c>
      <c r="P62" s="215">
        <v>45937.0</v>
      </c>
      <c r="Q62" s="222"/>
      <c r="R62" s="199">
        <f t="shared" si="3"/>
        <v>0</v>
      </c>
      <c r="S62" s="200"/>
      <c r="T62" s="201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</row>
    <row r="63" ht="15.75" hidden="1" customHeight="1">
      <c r="A63" s="190"/>
      <c r="B63" s="190" t="str">
        <f>IFERROR(__xludf.DUMMYFUNCTION("""COMPUTED_VALUE"""),"Top Point")</f>
        <v>Top Point</v>
      </c>
      <c r="C63" s="60" t="str">
        <f>IFERROR(__xludf.DUMMYFUNCTION("""COMPUTED_VALUE"""),"Pembelian Spuit 3cc")</f>
        <v>Pembelian Spuit 3cc</v>
      </c>
      <c r="D63" s="73"/>
      <c r="E63" s="219" t="str">
        <f>IFERROR(__xludf.DUMMYFUNCTION("""COMPUTED_VALUE"""),"BMHP Sentul.pdf")</f>
        <v>BMHP Sentul.pdf</v>
      </c>
      <c r="F63" s="220" t="str">
        <f>IFERROR(__xludf.DUMMYFUNCTION("""COMPUTED_VALUE"""),"MPG-021025003 - Top Point (PKM Sentul).pdf")</f>
        <v>MPG-021025003 - Top Point (PKM Sentul).pdf</v>
      </c>
      <c r="G63" s="73">
        <f>IFERROR(__xludf.DUMMYFUNCTION("""COMPUTED_VALUE"""),45936.0)</f>
        <v>45936</v>
      </c>
      <c r="H63" s="59"/>
      <c r="I63" s="24">
        <f>IFERROR(__xludf.DUMMYFUNCTION("""COMPUTED_VALUE"""),1091992.0)</f>
        <v>1091992</v>
      </c>
      <c r="J63" s="227">
        <f>IFERROR(__xludf.DUMMYFUNCTION("""COMPUTED_VALUE"""),120119.0)</f>
        <v>120119</v>
      </c>
      <c r="K63" s="228"/>
      <c r="L63" s="229">
        <f>IFERROR(__xludf.DUMMYFUNCTION("""COMPUTED_VALUE"""),1212111.0)</f>
        <v>1212111</v>
      </c>
      <c r="M63" s="224">
        <v>45967.0</v>
      </c>
      <c r="N63" s="205" t="s">
        <v>1138</v>
      </c>
      <c r="O63" s="199">
        <f t="shared" ref="O63:P63" si="5">L63</f>
        <v>1212111</v>
      </c>
      <c r="P63" s="217">
        <f t="shared" si="5"/>
        <v>45967</v>
      </c>
      <c r="Q63" s="222"/>
      <c r="R63" s="199">
        <f t="shared" si="3"/>
        <v>0</v>
      </c>
      <c r="S63" s="200"/>
      <c r="T63" s="201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</row>
    <row r="64" ht="15.75" hidden="1" customHeight="1">
      <c r="A64" s="190"/>
      <c r="B64" s="190" t="str">
        <f>IFERROR(__xludf.DUMMYFUNCTION("""COMPUTED_VALUE"""),"BSM")</f>
        <v>BSM</v>
      </c>
      <c r="C64" s="60" t="str">
        <f>IFERROR(__xludf.DUMMYFUNCTION("""COMPUTED_VALUE"""),"Pembelian Tabung Plan Merah, Stik Asam Urat, Stik Kolestrol, EDTA 3ML (PKM CIAWI)")</f>
        <v>Pembelian Tabung Plan Merah, Stik Asam Urat, Stik Kolestrol, EDTA 3ML (PKM CIAWI)</v>
      </c>
      <c r="D64" s="73"/>
      <c r="E64" s="219" t="str">
        <f>IFERROR(__xludf.DUMMYFUNCTION("""COMPUTED_VALUE"""),"surat-pesanan-EP-01K6M1B6X4Q02429HWGQBC58JY PKM CIAWI.pdf")</f>
        <v>surat-pesanan-EP-01K6M1B6X4Q02429HWGQBC58JY PKM CIAWI.pdf</v>
      </c>
      <c r="F64" s="220" t="str">
        <f>IFERROR(__xludf.DUMMYFUNCTION("""COMPUTED_VALUE"""),"MPG-031025005 - PT. BSM ...pdf")</f>
        <v>MPG-031025005 - PT. BSM ...pdf</v>
      </c>
      <c r="G64" s="73">
        <f>IFERROR(__xludf.DUMMYFUNCTION("""COMPUTED_VALUE"""),45937.0)</f>
        <v>45937</v>
      </c>
      <c r="H64" s="59"/>
      <c r="I64" s="245">
        <f>IFERROR(__xludf.DUMMYFUNCTION("""COMPUTED_VALUE"""),7005554.0)</f>
        <v>7005554</v>
      </c>
      <c r="J64" s="227"/>
      <c r="K64" s="228"/>
      <c r="L64" s="229">
        <f>IFERROR(__xludf.DUMMYFUNCTION("""COMPUTED_VALUE"""),7005554.0)</f>
        <v>7005554</v>
      </c>
      <c r="M64" s="224">
        <v>45937.0</v>
      </c>
      <c r="N64" s="205" t="s">
        <v>1138</v>
      </c>
      <c r="O64" s="196">
        <v>7005554.0</v>
      </c>
      <c r="P64" s="215">
        <v>45937.0</v>
      </c>
      <c r="Q64" s="222"/>
      <c r="R64" s="199">
        <f t="shared" si="3"/>
        <v>0</v>
      </c>
      <c r="S64" s="200"/>
      <c r="T64" s="201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</row>
    <row r="65" ht="15.75" hidden="1" customHeight="1">
      <c r="A65" s="190"/>
      <c r="B65" s="190" t="str">
        <f>IFERROR(__xludf.DUMMYFUNCTION("""COMPUTED_VALUE"""),"shopee")</f>
        <v>shopee</v>
      </c>
      <c r="C65" s="60" t="str">
        <f>IFERROR(__xludf.DUMMYFUNCTION("""COMPUTED_VALUE"""),"Pembelian Yellow Tip (PKM CIAWI)")</f>
        <v>Pembelian Yellow Tip (PKM CIAWI)</v>
      </c>
      <c r="D65" s="73"/>
      <c r="E65" s="219" t="str">
        <f>IFERROR(__xludf.DUMMYFUNCTION("""COMPUTED_VALUE"""),"surat-pesanan-EP-01K6M1B6X4Q02429HWGQBC58JY PKM CIAWI.pdf")</f>
        <v>surat-pesanan-EP-01K6M1B6X4Q02429HWGQBC58JY PKM CIAWI.pdf</v>
      </c>
      <c r="F65" s="73"/>
      <c r="G65" s="73">
        <f>IFERROR(__xludf.DUMMYFUNCTION("""COMPUTED_VALUE"""),45937.0)</f>
        <v>45937</v>
      </c>
      <c r="H65" s="59"/>
      <c r="I65" s="24">
        <f>IFERROR(__xludf.DUMMYFUNCTION("""COMPUTED_VALUE"""),79108.0)</f>
        <v>79108</v>
      </c>
      <c r="J65" s="227"/>
      <c r="K65" s="228"/>
      <c r="L65" s="229">
        <f>IFERROR(__xludf.DUMMYFUNCTION("""COMPUTED_VALUE"""),79108.0)</f>
        <v>79108</v>
      </c>
      <c r="M65" s="224">
        <v>45937.0</v>
      </c>
      <c r="N65" s="205" t="s">
        <v>1138</v>
      </c>
      <c r="O65" s="196">
        <v>79108.0</v>
      </c>
      <c r="P65" s="215">
        <v>45937.0</v>
      </c>
      <c r="Q65" s="222"/>
      <c r="R65" s="199">
        <f t="shared" si="3"/>
        <v>0</v>
      </c>
      <c r="S65" s="200"/>
      <c r="T65" s="201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</row>
    <row r="66" ht="15.75" hidden="1" customHeight="1">
      <c r="A66" s="190"/>
      <c r="B66" s="190" t="str">
        <f>IFERROR(__xludf.DUMMYFUNCTION("""COMPUTED_VALUE"""),"shopee")</f>
        <v>shopee</v>
      </c>
      <c r="C66" s="60" t="str">
        <f>IFERROR(__xludf.DUMMYFUNCTION("""COMPUTED_VALUE"""),"Pembelian Kartu Goldar (PKM CIAWI)")</f>
        <v>Pembelian Kartu Goldar (PKM CIAWI)</v>
      </c>
      <c r="D66" s="73"/>
      <c r="E66" s="219" t="str">
        <f>IFERROR(__xludf.DUMMYFUNCTION("""COMPUTED_VALUE"""),"surat-pesanan-EP-01K6M1B6X4Q02429HWGQBC58JY PKM CIAWI.pdf")</f>
        <v>surat-pesanan-EP-01K6M1B6X4Q02429HWGQBC58JY PKM CIAWI.pdf</v>
      </c>
      <c r="F66" s="73"/>
      <c r="G66" s="73">
        <f>IFERROR(__xludf.DUMMYFUNCTION("""COMPUTED_VALUE"""),45937.0)</f>
        <v>45937</v>
      </c>
      <c r="H66" s="59"/>
      <c r="I66" s="24">
        <f>IFERROR(__xludf.DUMMYFUNCTION("""COMPUTED_VALUE"""),66990.0)</f>
        <v>66990</v>
      </c>
      <c r="J66" s="227"/>
      <c r="K66" s="228"/>
      <c r="L66" s="229">
        <f>IFERROR(__xludf.DUMMYFUNCTION("""COMPUTED_VALUE"""),66990.0)</f>
        <v>66990</v>
      </c>
      <c r="M66" s="224">
        <v>45937.0</v>
      </c>
      <c r="N66" s="205" t="s">
        <v>1138</v>
      </c>
      <c r="O66" s="196">
        <v>66990.0</v>
      </c>
      <c r="P66" s="215">
        <v>45937.0</v>
      </c>
      <c r="Q66" s="222"/>
      <c r="R66" s="199">
        <f t="shared" si="3"/>
        <v>0</v>
      </c>
      <c r="S66" s="200"/>
      <c r="T66" s="201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</row>
    <row r="67" ht="15.75" hidden="1" customHeight="1">
      <c r="A67" s="190"/>
      <c r="B67" s="190" t="str">
        <f>IFERROR(__xludf.DUMMYFUNCTION("""COMPUTED_VALUE"""),"shopee")</f>
        <v>shopee</v>
      </c>
      <c r="C67" s="60" t="str">
        <f>IFERROR(__xludf.DUMMYFUNCTION("""COMPUTED_VALUE"""),"Pembelian Pot Urine (PKM CIAWI)")</f>
        <v>Pembelian Pot Urine (PKM CIAWI)</v>
      </c>
      <c r="D67" s="73"/>
      <c r="E67" s="219" t="str">
        <f>IFERROR(__xludf.DUMMYFUNCTION("""COMPUTED_VALUE"""),"surat-pesanan-EP-01K6M1B6X4Q02429HWGQBC58JY PKM CIAWI.pdf")</f>
        <v>surat-pesanan-EP-01K6M1B6X4Q02429HWGQBC58JY PKM CIAWI.pdf</v>
      </c>
      <c r="F67" s="73"/>
      <c r="G67" s="73">
        <f>IFERROR(__xludf.DUMMYFUNCTION("""COMPUTED_VALUE"""),45937.0)</f>
        <v>45937</v>
      </c>
      <c r="H67" s="59"/>
      <c r="I67" s="24">
        <f>IFERROR(__xludf.DUMMYFUNCTION("""COMPUTED_VALUE"""),476400.0)</f>
        <v>476400</v>
      </c>
      <c r="J67" s="227"/>
      <c r="K67" s="228"/>
      <c r="L67" s="229">
        <f>IFERROR(__xludf.DUMMYFUNCTION("""COMPUTED_VALUE"""),476400.0)</f>
        <v>476400</v>
      </c>
      <c r="M67" s="224">
        <v>45937.0</v>
      </c>
      <c r="N67" s="205" t="s">
        <v>1138</v>
      </c>
      <c r="O67" s="196">
        <v>476400.0</v>
      </c>
      <c r="P67" s="215">
        <v>45937.0</v>
      </c>
      <c r="Q67" s="222"/>
      <c r="R67" s="199">
        <f t="shared" si="3"/>
        <v>0</v>
      </c>
      <c r="S67" s="200"/>
      <c r="T67" s="201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</row>
    <row r="68" ht="15.75" hidden="1" customHeight="1">
      <c r="A68" s="190"/>
      <c r="B68" s="190"/>
      <c r="C68" s="60" t="str">
        <f>IFERROR(__xludf.DUMMYFUNCTION("""COMPUTED_VALUE"""),"Cashback pkm cihideng udik2, cogrek,cangkurawok")</f>
        <v>Cashback pkm cihideng udik2, cogrek,cangkurawok</v>
      </c>
      <c r="D68" s="73"/>
      <c r="E68" s="221"/>
      <c r="F68" s="73"/>
      <c r="G68" s="73">
        <f>IFERROR(__xludf.DUMMYFUNCTION("""COMPUTED_VALUE"""),45937.0)</f>
        <v>45937</v>
      </c>
      <c r="H68" s="59"/>
      <c r="I68" s="24">
        <f>IFERROR(__xludf.DUMMYFUNCTION("""COMPUTED_VALUE"""),1788970.29)</f>
        <v>1788970.29</v>
      </c>
      <c r="J68" s="227"/>
      <c r="K68" s="228"/>
      <c r="L68" s="229">
        <f>IFERROR(__xludf.DUMMYFUNCTION("""COMPUTED_VALUE"""),1788970.29)</f>
        <v>1788970.29</v>
      </c>
      <c r="M68" s="224">
        <v>45937.0</v>
      </c>
      <c r="N68" s="205" t="s">
        <v>1138</v>
      </c>
      <c r="O68" s="196">
        <v>1788970.0</v>
      </c>
      <c r="P68" s="215">
        <v>45937.0</v>
      </c>
      <c r="Q68" s="222"/>
      <c r="R68" s="199">
        <f t="shared" si="3"/>
        <v>0.29</v>
      </c>
      <c r="S68" s="200"/>
      <c r="T68" s="201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</row>
    <row r="69" ht="15.75" hidden="1" customHeight="1">
      <c r="A69" s="190"/>
      <c r="B69" s="190" t="str">
        <f>IFERROR(__xludf.DUMMYFUNCTION("""COMPUTED_VALUE"""),"PT. Wira Pithoe")</f>
        <v>PT. Wira Pithoe</v>
      </c>
      <c r="C69" s="60" t="str">
        <f>IFERROR(__xludf.DUMMYFUNCTION("""COMPUTED_VALUE"""),"Pembelian Reagen Cholestrol (Dinkes Tasik)")</f>
        <v>Pembelian Reagen Cholestrol (Dinkes Tasik)</v>
      </c>
      <c r="D69" s="73"/>
      <c r="E69" s="219" t="str">
        <f>IFERROR(__xludf.DUMMYFUNCTION("""COMPUTED_VALUE"""),"SP Dinkes Tasikmalaya")</f>
        <v>SP Dinkes Tasikmalaya</v>
      </c>
      <c r="F69" s="73"/>
      <c r="G69" s="73">
        <f>IFERROR(__xludf.DUMMYFUNCTION("""COMPUTED_VALUE"""),45940.0)</f>
        <v>45940</v>
      </c>
      <c r="H69" s="59"/>
      <c r="I69" s="24">
        <f>IFERROR(__xludf.DUMMYFUNCTION("""COMPUTED_VALUE"""),840000.0)</f>
        <v>840000</v>
      </c>
      <c r="J69" s="227">
        <f>IFERROR(__xludf.DUMMYFUNCTION("""COMPUTED_VALUE"""),92400.0)</f>
        <v>92400</v>
      </c>
      <c r="K69" s="228"/>
      <c r="L69" s="229">
        <f>IFERROR(__xludf.DUMMYFUNCTION("""COMPUTED_VALUE"""),932400.0)</f>
        <v>932400</v>
      </c>
      <c r="M69" s="224">
        <v>45940.0</v>
      </c>
      <c r="N69" s="205" t="s">
        <v>1138</v>
      </c>
      <c r="O69" s="196">
        <v>932400.0</v>
      </c>
      <c r="P69" s="246">
        <v>45940.0</v>
      </c>
      <c r="Q69" s="222"/>
      <c r="R69" s="199">
        <f t="shared" si="3"/>
        <v>0</v>
      </c>
      <c r="S69" s="200"/>
      <c r="T69" s="201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</row>
    <row r="70" ht="15.75" hidden="1" customHeight="1">
      <c r="A70" s="190"/>
      <c r="B70" s="190" t="str">
        <f>IFERROR(__xludf.DUMMYFUNCTION("""COMPUTED_VALUE"""),"PT. BSM")</f>
        <v>PT. BSM</v>
      </c>
      <c r="C70" s="60" t="str">
        <f>IFERROR(__xludf.DUMMYFUNCTION("""COMPUTED_VALUE"""),"Pembelian Edta (Dinkes Tasik) dan untuk stock")</f>
        <v>Pembelian Edta (Dinkes Tasik) dan untuk stock</v>
      </c>
      <c r="D70" s="73"/>
      <c r="E70" s="219" t="str">
        <f>IFERROR(__xludf.DUMMYFUNCTION("""COMPUTED_VALUE"""),"SP Dinkes Tasikmalaya")</f>
        <v>SP Dinkes Tasikmalaya</v>
      </c>
      <c r="F70" s="220" t="str">
        <f>IFERROR(__xludf.DUMMYFUNCTION("""COMPUTED_VALUE"""),"PO - BSM (dinkes tasik).pdf")</f>
        <v>PO - BSM (dinkes tasik).pdf</v>
      </c>
      <c r="G70" s="73">
        <f>IFERROR(__xludf.DUMMYFUNCTION("""COMPUTED_VALUE"""),45938.0)</f>
        <v>45938</v>
      </c>
      <c r="H70" s="59"/>
      <c r="I70" s="24">
        <f>IFERROR(__xludf.DUMMYFUNCTION("""COMPUTED_VALUE"""),306304.0)</f>
        <v>306304</v>
      </c>
      <c r="J70" s="227">
        <f>IFERROR(__xludf.DUMMYFUNCTION("""COMPUTED_VALUE"""),33693.0)</f>
        <v>33693</v>
      </c>
      <c r="K70" s="228"/>
      <c r="L70" s="229">
        <f>IFERROR(__xludf.DUMMYFUNCTION("""COMPUTED_VALUE"""),339997.0)</f>
        <v>339997</v>
      </c>
      <c r="M70" s="224">
        <v>45938.0</v>
      </c>
      <c r="N70" s="205" t="s">
        <v>1138</v>
      </c>
      <c r="O70" s="196">
        <v>339997.0</v>
      </c>
      <c r="P70" s="247">
        <v>45938.0</v>
      </c>
      <c r="Q70" s="222"/>
      <c r="R70" s="199">
        <f t="shared" si="3"/>
        <v>0</v>
      </c>
      <c r="S70" s="200"/>
      <c r="T70" s="201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</row>
    <row r="71" ht="15.75" hidden="1" customHeight="1">
      <c r="A71" s="190"/>
      <c r="B71" s="190" t="str">
        <f>IFERROR(__xludf.DUMMYFUNCTION("""COMPUTED_VALUE"""),"Shopee")</f>
        <v>Shopee</v>
      </c>
      <c r="C71" s="60" t="str">
        <f>IFERROR(__xludf.DUMMYFUNCTION("""COMPUTED_VALUE"""),"Cover glass (Dinkes Tasik)")</f>
        <v>Cover glass (Dinkes Tasik)</v>
      </c>
      <c r="D71" s="73"/>
      <c r="E71" s="219" t="str">
        <f>IFERROR(__xludf.DUMMYFUNCTION("""COMPUTED_VALUE"""),"SP Dinkes Tasikmalaya")</f>
        <v>SP Dinkes Tasikmalaya</v>
      </c>
      <c r="F71" s="73"/>
      <c r="G71" s="73">
        <f>IFERROR(__xludf.DUMMYFUNCTION("""COMPUTED_VALUE"""),45938.0)</f>
        <v>45938</v>
      </c>
      <c r="H71" s="59"/>
      <c r="I71" s="24">
        <f>IFERROR(__xludf.DUMMYFUNCTION("""COMPUTED_VALUE"""),21500.0)</f>
        <v>21500</v>
      </c>
      <c r="J71" s="227"/>
      <c r="K71" s="228"/>
      <c r="L71" s="229">
        <f>IFERROR(__xludf.DUMMYFUNCTION("""COMPUTED_VALUE"""),21500.0)</f>
        <v>21500</v>
      </c>
      <c r="M71" s="224">
        <v>45938.0</v>
      </c>
      <c r="N71" s="205" t="s">
        <v>1138</v>
      </c>
      <c r="O71" s="196">
        <v>21500.0</v>
      </c>
      <c r="P71" s="215">
        <v>45938.0</v>
      </c>
      <c r="Q71" s="222"/>
      <c r="R71" s="199">
        <f t="shared" si="3"/>
        <v>0</v>
      </c>
      <c r="S71" s="200"/>
      <c r="T71" s="201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</row>
    <row r="72" ht="15.75" hidden="1" customHeight="1">
      <c r="A72" s="190"/>
      <c r="B72" s="190" t="str">
        <f>IFERROR(__xludf.DUMMYFUNCTION("""COMPUTED_VALUE"""),"PT. Biosensor")</f>
        <v>PT. Biosensor</v>
      </c>
      <c r="C72" s="60" t="str">
        <f>IFERROR(__xludf.DUMMYFUNCTION("""COMPUTED_VALUE"""),"Pembelian Stik Codefree (PKM CIAWI)")</f>
        <v>Pembelian Stik Codefree (PKM CIAWI)</v>
      </c>
      <c r="D72" s="73"/>
      <c r="E72" s="219" t="str">
        <f>IFERROR(__xludf.DUMMYFUNCTION("""COMPUTED_VALUE"""),"surat-pesanan-EP-01K6M1B6X4Q02429HWGQBC58JY PKM CIAWI.pdf")</f>
        <v>surat-pesanan-EP-01K6M1B6X4Q02429HWGQBC58JY PKM CIAWI.pdf</v>
      </c>
      <c r="F72" s="220" t="str">
        <f>IFERROR(__xludf.DUMMYFUNCTION("""COMPUTED_VALUE"""),"MPG-031025004 - PO BIOSENSOR.pdf")</f>
        <v>MPG-031025004 - PO BIOSENSOR.pdf</v>
      </c>
      <c r="G72" s="73">
        <f>IFERROR(__xludf.DUMMYFUNCTION("""COMPUTED_VALUE"""),45940.0)</f>
        <v>45940</v>
      </c>
      <c r="H72" s="59"/>
      <c r="I72" s="24">
        <f>IFERROR(__xludf.DUMMYFUNCTION("""COMPUTED_VALUE"""),1340090.0)</f>
        <v>1340090</v>
      </c>
      <c r="J72" s="227">
        <f>IFERROR(__xludf.DUMMYFUNCTION("""COMPUTED_VALUE"""),147409.0)</f>
        <v>147409</v>
      </c>
      <c r="K72" s="228"/>
      <c r="L72" s="229">
        <f>IFERROR(__xludf.DUMMYFUNCTION("""COMPUTED_VALUE"""),1487499.0)</f>
        <v>1487499</v>
      </c>
      <c r="M72" s="224">
        <v>45940.0</v>
      </c>
      <c r="N72" s="205" t="s">
        <v>1138</v>
      </c>
      <c r="O72" s="196">
        <v>1487499.0</v>
      </c>
      <c r="P72" s="215">
        <v>45940.0</v>
      </c>
      <c r="Q72" s="222"/>
      <c r="R72" s="199">
        <f t="shared" si="3"/>
        <v>0</v>
      </c>
      <c r="S72" s="200"/>
      <c r="T72" s="201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</row>
    <row r="73" ht="15.75" hidden="1" customHeight="1">
      <c r="A73" s="190"/>
      <c r="B73" s="190"/>
      <c r="C73" s="60" t="str">
        <f>IFERROR(__xludf.DUMMYFUNCTION("""COMPUTED_VALUE"""),"Cashback PKM Kelapa 2")</f>
        <v>Cashback PKM Kelapa 2</v>
      </c>
      <c r="D73" s="73"/>
      <c r="E73" s="219" t="str">
        <f>IFERROR(__xludf.DUMMYFUNCTION("""COMPUTED_VALUE"""),"SP Belanja Kebersihan Puskesmas Kelapa Dua September 2025.pdf")</f>
        <v>SP Belanja Kebersihan Puskesmas Kelapa Dua September 2025.pdf</v>
      </c>
      <c r="F73" s="73"/>
      <c r="G73" s="73">
        <f>IFERROR(__xludf.DUMMYFUNCTION("""COMPUTED_VALUE"""),45938.0)</f>
        <v>45938</v>
      </c>
      <c r="H73" s="59"/>
      <c r="I73" s="24">
        <f>IFERROR(__xludf.DUMMYFUNCTION("""COMPUTED_VALUE"""),1451916.0)</f>
        <v>1451916</v>
      </c>
      <c r="J73" s="227"/>
      <c r="K73" s="228"/>
      <c r="L73" s="229">
        <f>IFERROR(__xludf.DUMMYFUNCTION("""COMPUTED_VALUE"""),1451916.0)</f>
        <v>1451916</v>
      </c>
      <c r="M73" s="224">
        <v>45938.0</v>
      </c>
      <c r="N73" s="205" t="s">
        <v>1138</v>
      </c>
      <c r="O73" s="196">
        <v>1451916.0</v>
      </c>
      <c r="P73" s="215">
        <v>45938.0</v>
      </c>
      <c r="Q73" s="222"/>
      <c r="R73" s="199">
        <f t="shared" si="3"/>
        <v>0</v>
      </c>
      <c r="S73" s="200"/>
      <c r="T73" s="201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</row>
    <row r="74" ht="15.75" hidden="1" customHeight="1">
      <c r="A74" s="190"/>
      <c r="B74" s="190" t="str">
        <f>IFERROR(__xludf.DUMMYFUNCTION("""COMPUTED_VALUE"""),"PT. Klipindo Plastik Pratama")</f>
        <v>PT. Klipindo Plastik Pratama</v>
      </c>
      <c r="C74" s="60" t="str">
        <f>IFERROR(__xludf.DUMMYFUNCTION("""COMPUTED_VALUE"""),"Pesanan Plastik (RSUD Ps.Minggu) 1.000 Pack dan pkm sentul 300 pack")</f>
        <v>Pesanan Plastik (RSUD Ps.Minggu) 1.000 Pack dan pkm sentul 300 pack</v>
      </c>
      <c r="D74" s="73"/>
      <c r="E74" s="219" t="str">
        <f>IFERROR(__xludf.DUMMYFUNCTION("""COMPUTED_VALUE"""),"Rsud Pasar Minggu.pdf")</f>
        <v>Rsud Pasar Minggu.pdf</v>
      </c>
      <c r="F74" s="220" t="str">
        <f>IFERROR(__xludf.DUMMYFUNCTION("""COMPUTED_VALUE"""),"MPG-101025010 - PT. Klipindo Plastik Pratama.pdf")</f>
        <v>MPG-101025010 - PT. Klipindo Plastik Pratama.pdf</v>
      </c>
      <c r="G74" s="73">
        <f>IFERROR(__xludf.DUMMYFUNCTION("""COMPUTED_VALUE"""),45940.0)</f>
        <v>45940</v>
      </c>
      <c r="H74" s="59"/>
      <c r="I74" s="24">
        <f>IFERROR(__xludf.DUMMYFUNCTION("""COMPUTED_VALUE"""),1.15259E7)</f>
        <v>11525900</v>
      </c>
      <c r="J74" s="227"/>
      <c r="K74" s="228"/>
      <c r="L74" s="229">
        <f>IFERROR(__xludf.DUMMYFUNCTION("""COMPUTED_VALUE"""),1.15259E7)</f>
        <v>11525900</v>
      </c>
      <c r="M74" s="224">
        <v>45943.0</v>
      </c>
      <c r="N74" s="205" t="s">
        <v>1138</v>
      </c>
      <c r="O74" s="196">
        <v>1.15259E7</v>
      </c>
      <c r="P74" s="215">
        <v>45943.0</v>
      </c>
      <c r="Q74" s="222"/>
      <c r="R74" s="199">
        <f t="shared" si="3"/>
        <v>0</v>
      </c>
      <c r="S74" s="200"/>
      <c r="T74" s="201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</row>
    <row r="75" ht="15.75" hidden="1" customHeight="1">
      <c r="A75" s="190"/>
      <c r="B75" s="190" t="str">
        <f>IFERROR(__xludf.DUMMYFUNCTION("""COMPUTED_VALUE"""),"Shopee")</f>
        <v>Shopee</v>
      </c>
      <c r="C75" s="60" t="str">
        <f>IFERROR(__xludf.DUMMYFUNCTION("""COMPUTED_VALUE"""),"Pembelian Pesanan APAR 3.5 KG (PKM Bojong)")</f>
        <v>Pembelian Pesanan APAR 3.5 KG (PKM Bojong)</v>
      </c>
      <c r="D75" s="73"/>
      <c r="E75" s="219" t="str">
        <f>IFERROR(__xludf.DUMMYFUNCTION("""COMPUTED_VALUE"""),"surat-pesanan-EP-01K6M7R46NK0HCYZ9GCCRKJKVV Pkm Bojong.pdf")</f>
        <v>surat-pesanan-EP-01K6M7R46NK0HCYZ9GCCRKJKVV Pkm Bojong.pdf</v>
      </c>
      <c r="F75" s="73"/>
      <c r="G75" s="73">
        <f>IFERROR(__xludf.DUMMYFUNCTION("""COMPUTED_VALUE"""),45940.0)</f>
        <v>45940</v>
      </c>
      <c r="H75" s="59"/>
      <c r="I75" s="24">
        <f>IFERROR(__xludf.DUMMYFUNCTION("""COMPUTED_VALUE"""),876000.0)</f>
        <v>876000</v>
      </c>
      <c r="J75" s="227"/>
      <c r="K75" s="228"/>
      <c r="L75" s="229">
        <f>IFERROR(__xludf.DUMMYFUNCTION("""COMPUTED_VALUE"""),876000.0)</f>
        <v>876000</v>
      </c>
      <c r="M75" s="224">
        <v>45940.0</v>
      </c>
      <c r="N75" s="205" t="s">
        <v>1138</v>
      </c>
      <c r="O75" s="196">
        <v>876000.0</v>
      </c>
      <c r="P75" s="215">
        <v>45940.0</v>
      </c>
      <c r="Q75" s="222"/>
      <c r="R75" s="199">
        <f t="shared" si="3"/>
        <v>0</v>
      </c>
      <c r="S75" s="200"/>
      <c r="T75" s="201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</row>
    <row r="76" ht="15.75" customHeight="1">
      <c r="A76" s="190"/>
      <c r="B76" s="190" t="str">
        <f>IFERROR(__xludf.DUMMYFUNCTION("""COMPUTED_VALUE"""),"PT. Top Point")</f>
        <v>PT. Top Point</v>
      </c>
      <c r="C76" s="60" t="str">
        <f>IFERROR(__xludf.DUMMYFUNCTION("""COMPUTED_VALUE"""),"Pembelian Feeding Tube (RSUD DR. ADJIDARMO)")</f>
        <v>Pembelian Feeding Tube (RSUD DR. ADJIDARMO)</v>
      </c>
      <c r="D76" s="73"/>
      <c r="E76" s="219" t="str">
        <f>IFERROR(__xludf.DUMMYFUNCTION("""COMPUTED_VALUE"""),"SP RSUD Adjidarmo.pdf")</f>
        <v>SP RSUD Adjidarmo.pdf</v>
      </c>
      <c r="F76" s="220" t="str">
        <f>IFERROR(__xludf.DUMMYFUNCTION("""COMPUTED_VALUE"""),"MPG-081025007 - Top Point (Feeding Tube).pdf")</f>
        <v>MPG-081025007 - Top Point (Feeding Tube).pdf</v>
      </c>
      <c r="G76" s="73"/>
      <c r="H76" s="59" t="str">
        <f>IFERROR(__xludf.DUMMYFUNCTION("""COMPUTED_VALUE"""),"Tempo")</f>
        <v>Tempo</v>
      </c>
      <c r="I76" s="24">
        <f>IFERROR(__xludf.DUMMYFUNCTION("""COMPUTED_VALUE"""),5929000.0)</f>
        <v>5929000</v>
      </c>
      <c r="J76" s="227"/>
      <c r="K76" s="228"/>
      <c r="L76" s="229">
        <f>IFERROR(__xludf.DUMMYFUNCTION("""COMPUTED_VALUE"""),5929000.0)</f>
        <v>5929000</v>
      </c>
      <c r="M76" s="228"/>
      <c r="N76" s="205" t="s">
        <v>1138</v>
      </c>
      <c r="O76" s="199"/>
      <c r="P76" s="217"/>
      <c r="Q76" s="222"/>
      <c r="R76" s="199">
        <f t="shared" si="3"/>
        <v>5929000</v>
      </c>
      <c r="S76" s="200"/>
      <c r="T76" s="201"/>
      <c r="U76" s="46" t="s">
        <v>1151</v>
      </c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</row>
    <row r="77" ht="15.75" hidden="1" customHeight="1">
      <c r="A77" s="190"/>
      <c r="B77" s="190" t="str">
        <f>IFERROR(__xludf.DUMMYFUNCTION("""COMPUTED_VALUE"""),"PT Wira Pithoe")</f>
        <v>PT Wira Pithoe</v>
      </c>
      <c r="C77" s="60" t="str">
        <f>IFERROR(__xludf.DUMMYFUNCTION("""COMPUTED_VALUE"""),"Pesanan Dinkes Tasik (koletsrol,trigiliserida,sgot,sgpt,ureum,kreatinin)")</f>
        <v>Pesanan Dinkes Tasik (koletsrol,trigiliserida,sgot,sgpt,ureum,kreatinin)</v>
      </c>
      <c r="D77" s="73"/>
      <c r="E77" s="219" t="str">
        <f>IFERROR(__xludf.DUMMYFUNCTION("""COMPUTED_VALUE"""),"Surat Pesanan Dinkes Tasikmalaya")</f>
        <v>Surat Pesanan Dinkes Tasikmalaya</v>
      </c>
      <c r="F77" s="220" t="str">
        <f>IFERROR(__xludf.DUMMYFUNCTION("""COMPUTED_VALUE"""),"MPG-131025012 - PT WIRA PITHOE (dinkes tasik).pdf")</f>
        <v>MPG-131025012 - PT WIRA PITHOE (dinkes tasik).pdf</v>
      </c>
      <c r="G77" s="73">
        <f>IFERROR(__xludf.DUMMYFUNCTION("""COMPUTED_VALUE"""),45943.0)</f>
        <v>45943</v>
      </c>
      <c r="H77" s="59"/>
      <c r="I77" s="24">
        <f>IFERROR(__xludf.DUMMYFUNCTION("""COMPUTED_VALUE"""),1.0074E7)</f>
        <v>10074000</v>
      </c>
      <c r="J77" s="227">
        <f>IFERROR(__xludf.DUMMYFUNCTION("""COMPUTED_VALUE"""),1108140.0)</f>
        <v>1108140</v>
      </c>
      <c r="K77" s="228"/>
      <c r="L77" s="229">
        <f>IFERROR(__xludf.DUMMYFUNCTION("""COMPUTED_VALUE"""),1.118214E7)</f>
        <v>11182140</v>
      </c>
      <c r="M77" s="224">
        <v>45943.0</v>
      </c>
      <c r="N77" s="205" t="s">
        <v>1138</v>
      </c>
      <c r="O77" s="196">
        <v>1.118214E7</v>
      </c>
      <c r="P77" s="224">
        <v>45943.0</v>
      </c>
      <c r="Q77" s="222"/>
      <c r="R77" s="199">
        <f t="shared" si="3"/>
        <v>0</v>
      </c>
      <c r="S77" s="200"/>
      <c r="T77" s="201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</row>
    <row r="78" ht="15.75" hidden="1" customHeight="1">
      <c r="A78" s="190"/>
      <c r="B78" s="190" t="str">
        <f>IFERROR(__xludf.DUMMYFUNCTION("""COMPUTED_VALUE"""),"PT. Dhyas Mitra Usaha")</f>
        <v>PT. Dhyas Mitra Usaha</v>
      </c>
      <c r="C78" s="60" t="str">
        <f>IFERROR(__xludf.DUMMYFUNCTION("""COMPUTED_VALUE"""),"Pesanan Dinkes Tasik (Pot urine, Alcohol swab, sarung tangan s/m)")</f>
        <v>Pesanan Dinkes Tasik (Pot urine, Alcohol swab, sarung tangan s/m)</v>
      </c>
      <c r="D78" s="73"/>
      <c r="E78" s="219" t="str">
        <f>IFERROR(__xludf.DUMMYFUNCTION("""COMPUTED_VALUE"""),"Surat Pesanan Dinkes Tasikmalaya")</f>
        <v>Surat Pesanan Dinkes Tasikmalaya</v>
      </c>
      <c r="F78" s="220" t="str">
        <f>IFERROR(__xludf.DUMMYFUNCTION("""COMPUTED_VALUE"""),"MPG-131025013 - PT. DHYAS (Dinkes Tasikmalaya).pdf")</f>
        <v>MPG-131025013 - PT. DHYAS (Dinkes Tasikmalaya).pdf</v>
      </c>
      <c r="G78" s="73">
        <f>IFERROR(__xludf.DUMMYFUNCTION("""COMPUTED_VALUE"""),45943.0)</f>
        <v>45943</v>
      </c>
      <c r="H78" s="59"/>
      <c r="I78" s="24">
        <f>IFERROR(__xludf.DUMMYFUNCTION("""COMPUTED_VALUE"""),1994600.0)</f>
        <v>1994600</v>
      </c>
      <c r="J78" s="227"/>
      <c r="K78" s="228"/>
      <c r="L78" s="229">
        <f>IFERROR(__xludf.DUMMYFUNCTION("""COMPUTED_VALUE"""),1994600.0)</f>
        <v>1994600</v>
      </c>
      <c r="M78" s="224">
        <v>45943.0</v>
      </c>
      <c r="N78" s="205" t="s">
        <v>1138</v>
      </c>
      <c r="O78" s="196">
        <v>1994600.0</v>
      </c>
      <c r="P78" s="224">
        <v>45943.0</v>
      </c>
      <c r="Q78" s="222"/>
      <c r="R78" s="199">
        <f t="shared" si="3"/>
        <v>0</v>
      </c>
      <c r="S78" s="200"/>
      <c r="T78" s="201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</row>
    <row r="79" ht="15.75" hidden="1" customHeight="1">
      <c r="A79" s="190"/>
      <c r="B79" s="190" t="str">
        <f>IFERROR(__xludf.DUMMYFUNCTION("""COMPUTED_VALUE"""),"PT. SGM")</f>
        <v>PT. SGM</v>
      </c>
      <c r="C79" s="60" t="str">
        <f>IFERROR(__xludf.DUMMYFUNCTION("""COMPUTED_VALUE"""),"Pesanan Dinkes Tasik (Goldar Set)")</f>
        <v>Pesanan Dinkes Tasik (Goldar Set)</v>
      </c>
      <c r="D79" s="73"/>
      <c r="E79" s="219" t="str">
        <f>IFERROR(__xludf.DUMMYFUNCTION("""COMPUTED_VALUE"""),"Surat Pesanan Dinkes Tasikmalaya")</f>
        <v>Surat Pesanan Dinkes Tasikmalaya</v>
      </c>
      <c r="F79" s="220" t="str">
        <f>IFERROR(__xludf.DUMMYFUNCTION("""COMPUTED_VALUE"""),"MPG-131025015 - PT.SGM.pdf")</f>
        <v>MPG-131025015 - PT.SGM.pdf</v>
      </c>
      <c r="G79" s="73">
        <f>IFERROR(__xludf.DUMMYFUNCTION("""COMPUTED_VALUE"""),45943.0)</f>
        <v>45943</v>
      </c>
      <c r="H79" s="59"/>
      <c r="I79" s="24">
        <f>IFERROR(__xludf.DUMMYFUNCTION("""COMPUTED_VALUE"""),652000.0)</f>
        <v>652000</v>
      </c>
      <c r="J79" s="227">
        <f>IFERROR(__xludf.DUMMYFUNCTION("""COMPUTED_VALUE"""),71720.0)</f>
        <v>71720</v>
      </c>
      <c r="K79" s="228"/>
      <c r="L79" s="229">
        <f>IFERROR(__xludf.DUMMYFUNCTION("""COMPUTED_VALUE"""),723720.0)</f>
        <v>723720</v>
      </c>
      <c r="M79" s="224">
        <v>45943.0</v>
      </c>
      <c r="N79" s="205" t="s">
        <v>1138</v>
      </c>
      <c r="O79" s="196">
        <v>723720.0</v>
      </c>
      <c r="P79" s="224">
        <v>45943.0</v>
      </c>
      <c r="Q79" s="222"/>
      <c r="R79" s="199">
        <f t="shared" si="3"/>
        <v>0</v>
      </c>
      <c r="S79" s="200"/>
      <c r="T79" s="201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</row>
    <row r="80" ht="15.75" hidden="1" customHeight="1">
      <c r="A80" s="190"/>
      <c r="B80" s="190" t="str">
        <f>IFERROR(__xludf.DUMMYFUNCTION("""COMPUTED_VALUE"""),"PT. BSM")</f>
        <v>PT. BSM</v>
      </c>
      <c r="C80" s="60" t="str">
        <f>IFERROR(__xludf.DUMMYFUNCTION("""COMPUTED_VALUE"""),"Pesanan Dinkes Tasik (Tes kehamilan,tabung edta,tabung gel,yellow white tip,urine p,led)")</f>
        <v>Pesanan Dinkes Tasik (Tes kehamilan,tabung edta,tabung gel,yellow white tip,urine p,led)</v>
      </c>
      <c r="D80" s="73"/>
      <c r="E80" s="219" t="str">
        <f>IFERROR(__xludf.DUMMYFUNCTION("""COMPUTED_VALUE"""),"Surat Pesanan Dinkes Tasikmalaya")</f>
        <v>Surat Pesanan Dinkes Tasikmalaya</v>
      </c>
      <c r="F80" s="220" t="str">
        <f>IFERROR(__xludf.DUMMYFUNCTION("""COMPUTED_VALUE"""),"MPG-131025014 -BSM (Dinkes Tasik).pdf")</f>
        <v>MPG-131025014 -BSM (Dinkes Tasik).pdf</v>
      </c>
      <c r="G80" s="73">
        <f>IFERROR(__xludf.DUMMYFUNCTION("""COMPUTED_VALUE"""),45943.0)</f>
        <v>45943</v>
      </c>
      <c r="H80" s="59"/>
      <c r="I80" s="24">
        <f>IFERROR(__xludf.DUMMYFUNCTION("""COMPUTED_VALUE"""),5634862.0)</f>
        <v>5634862</v>
      </c>
      <c r="J80" s="227">
        <f>IFERROR(__xludf.DUMMYFUNCTION("""COMPUTED_VALUE"""),619835.0)</f>
        <v>619835</v>
      </c>
      <c r="K80" s="228"/>
      <c r="L80" s="229">
        <f>IFERROR(__xludf.DUMMYFUNCTION("""COMPUTED_VALUE"""),6254697.0)</f>
        <v>6254697</v>
      </c>
      <c r="M80" s="224">
        <v>45943.0</v>
      </c>
      <c r="N80" s="205" t="s">
        <v>1138</v>
      </c>
      <c r="O80" s="196">
        <v>6254697.0</v>
      </c>
      <c r="P80" s="224">
        <v>45943.0</v>
      </c>
      <c r="Q80" s="222"/>
      <c r="R80" s="199">
        <f t="shared" si="3"/>
        <v>0</v>
      </c>
      <c r="S80" s="200"/>
      <c r="T80" s="201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</row>
    <row r="81" ht="15.75" hidden="1" customHeight="1">
      <c r="A81" s="190"/>
      <c r="B81" s="190" t="str">
        <f>IFERROR(__xludf.DUMMYFUNCTION("""COMPUTED_VALUE"""),"shopee")</f>
        <v>shopee</v>
      </c>
      <c r="C81" s="60" t="str">
        <f>IFERROR(__xludf.DUMMYFUNCTION("""COMPUTED_VALUE"""),"Pesanan Dinkes Tasik (Kartu Goldar)")</f>
        <v>Pesanan Dinkes Tasik (Kartu Goldar)</v>
      </c>
      <c r="D81" s="73"/>
      <c r="E81" s="219" t="str">
        <f>IFERROR(__xludf.DUMMYFUNCTION("""COMPUTED_VALUE"""),"Surat Pesanan Dinkes Tasikmalaya")</f>
        <v>Surat Pesanan Dinkes Tasikmalaya</v>
      </c>
      <c r="F81" s="73"/>
      <c r="G81" s="73">
        <f>IFERROR(__xludf.DUMMYFUNCTION("""COMPUTED_VALUE"""),45943.0)</f>
        <v>45943</v>
      </c>
      <c r="H81" s="59"/>
      <c r="I81" s="24">
        <f>IFERROR(__xludf.DUMMYFUNCTION("""COMPUTED_VALUE"""),80500.0)</f>
        <v>80500</v>
      </c>
      <c r="J81" s="227"/>
      <c r="K81" s="228"/>
      <c r="L81" s="229">
        <f>IFERROR(__xludf.DUMMYFUNCTION("""COMPUTED_VALUE"""),80500.0)</f>
        <v>80500</v>
      </c>
      <c r="M81" s="224">
        <v>45943.0</v>
      </c>
      <c r="N81" s="205" t="s">
        <v>1138</v>
      </c>
      <c r="O81" s="196">
        <v>80500.0</v>
      </c>
      <c r="P81" s="224">
        <v>45943.0</v>
      </c>
      <c r="Q81" s="222"/>
      <c r="R81" s="199">
        <f t="shared" si="3"/>
        <v>0</v>
      </c>
      <c r="S81" s="200"/>
      <c r="T81" s="201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</row>
    <row r="82" ht="15.75" hidden="1" customHeight="1">
      <c r="A82" s="190"/>
      <c r="B82" s="190" t="str">
        <f>IFERROR(__xludf.DUMMYFUNCTION("""COMPUTED_VALUE"""),"shopee")</f>
        <v>shopee</v>
      </c>
      <c r="C82" s="60" t="str">
        <f>IFERROR(__xludf.DUMMYFUNCTION("""COMPUTED_VALUE"""),"Pesanan Dinkes Tasik (Rak Tabung)")</f>
        <v>Pesanan Dinkes Tasik (Rak Tabung)</v>
      </c>
      <c r="D82" s="73"/>
      <c r="E82" s="219" t="str">
        <f>IFERROR(__xludf.DUMMYFUNCTION("""COMPUTED_VALUE"""),"Surat Pesanan Dinkes Tasikmalaya")</f>
        <v>Surat Pesanan Dinkes Tasikmalaya</v>
      </c>
      <c r="F82" s="73"/>
      <c r="G82" s="73">
        <f>IFERROR(__xludf.DUMMYFUNCTION("""COMPUTED_VALUE"""),45943.0)</f>
        <v>45943</v>
      </c>
      <c r="H82" s="59"/>
      <c r="I82" s="24">
        <f>IFERROR(__xludf.DUMMYFUNCTION("""COMPUTED_VALUE"""),676420.0)</f>
        <v>676420</v>
      </c>
      <c r="J82" s="227"/>
      <c r="K82" s="228"/>
      <c r="L82" s="229">
        <f>IFERROR(__xludf.DUMMYFUNCTION("""COMPUTED_VALUE"""),676420.0)</f>
        <v>676420</v>
      </c>
      <c r="M82" s="224">
        <v>45943.0</v>
      </c>
      <c r="N82" s="205" t="s">
        <v>1138</v>
      </c>
      <c r="O82" s="196">
        <v>676420.0</v>
      </c>
      <c r="P82" s="224">
        <v>45943.0</v>
      </c>
      <c r="Q82" s="222"/>
      <c r="R82" s="199">
        <f t="shared" si="3"/>
        <v>0</v>
      </c>
      <c r="S82" s="200"/>
      <c r="T82" s="201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</row>
    <row r="83" ht="15.75" hidden="1" customHeight="1">
      <c r="A83" s="190"/>
      <c r="B83" s="190" t="str">
        <f>IFERROR(__xludf.DUMMYFUNCTION("""COMPUTED_VALUE"""),"shopee")</f>
        <v>shopee</v>
      </c>
      <c r="C83" s="60" t="str">
        <f>IFERROR(__xludf.DUMMYFUNCTION("""COMPUTED_VALUE"""),"Pesanan Dinkes Tasik ( Tourniquet)")</f>
        <v>Pesanan Dinkes Tasik ( Tourniquet)</v>
      </c>
      <c r="D83" s="73"/>
      <c r="E83" s="219" t="str">
        <f>IFERROR(__xludf.DUMMYFUNCTION("""COMPUTED_VALUE"""),"Surat Pesanan Dinkes Tasikmalaya")</f>
        <v>Surat Pesanan Dinkes Tasikmalaya</v>
      </c>
      <c r="F83" s="73"/>
      <c r="G83" s="73">
        <f>IFERROR(__xludf.DUMMYFUNCTION("""COMPUTED_VALUE"""),45943.0)</f>
        <v>45943</v>
      </c>
      <c r="H83" s="59"/>
      <c r="I83" s="24">
        <f>IFERROR(__xludf.DUMMYFUNCTION("""COMPUTED_VALUE"""),32070.0)</f>
        <v>32070</v>
      </c>
      <c r="J83" s="227"/>
      <c r="K83" s="228"/>
      <c r="L83" s="229">
        <f>IFERROR(__xludf.DUMMYFUNCTION("""COMPUTED_VALUE"""),32070.0)</f>
        <v>32070</v>
      </c>
      <c r="M83" s="224">
        <v>45943.0</v>
      </c>
      <c r="N83" s="205" t="s">
        <v>1138</v>
      </c>
      <c r="O83" s="196">
        <v>32070.0</v>
      </c>
      <c r="P83" s="224">
        <v>45943.0</v>
      </c>
      <c r="Q83" s="222"/>
      <c r="R83" s="199">
        <f t="shared" si="3"/>
        <v>0</v>
      </c>
      <c r="S83" s="200"/>
      <c r="T83" s="201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</row>
    <row r="84" ht="15.75" hidden="1" customHeight="1">
      <c r="A84" s="190"/>
      <c r="B84" s="190" t="str">
        <f>IFERROR(__xludf.DUMMYFUNCTION("""COMPUTED_VALUE"""),"shopee")</f>
        <v>shopee</v>
      </c>
      <c r="C84" s="60" t="str">
        <f>IFERROR(__xludf.DUMMYFUNCTION("""COMPUTED_VALUE"""),"Pesanan Dinkes Tasik (Okplast)")</f>
        <v>Pesanan Dinkes Tasik (Okplast)</v>
      </c>
      <c r="D84" s="73"/>
      <c r="E84" s="219" t="str">
        <f>IFERROR(__xludf.DUMMYFUNCTION("""COMPUTED_VALUE"""),"Surat Pesanan Dinkes Tasikmalaya")</f>
        <v>Surat Pesanan Dinkes Tasikmalaya</v>
      </c>
      <c r="F84" s="73"/>
      <c r="G84" s="73">
        <f>IFERROR(__xludf.DUMMYFUNCTION("""COMPUTED_VALUE"""),45943.0)</f>
        <v>45943</v>
      </c>
      <c r="H84" s="59"/>
      <c r="I84" s="24">
        <f>IFERROR(__xludf.DUMMYFUNCTION("""COMPUTED_VALUE"""),218500.0)</f>
        <v>218500</v>
      </c>
      <c r="J84" s="227"/>
      <c r="K84" s="228"/>
      <c r="L84" s="229">
        <f>IFERROR(__xludf.DUMMYFUNCTION("""COMPUTED_VALUE"""),218500.0)</f>
        <v>218500</v>
      </c>
      <c r="M84" s="224">
        <v>45943.0</v>
      </c>
      <c r="N84" s="205" t="s">
        <v>1138</v>
      </c>
      <c r="O84" s="196">
        <v>218500.0</v>
      </c>
      <c r="P84" s="224">
        <v>45943.0</v>
      </c>
      <c r="Q84" s="222"/>
      <c r="R84" s="199">
        <f t="shared" si="3"/>
        <v>0</v>
      </c>
      <c r="S84" s="200"/>
      <c r="T84" s="201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</row>
    <row r="85" ht="15.75" hidden="1" customHeight="1">
      <c r="A85" s="190"/>
      <c r="B85" s="190" t="str">
        <f>IFERROR(__xludf.DUMMYFUNCTION("""COMPUTED_VALUE"""),"shopee")</f>
        <v>shopee</v>
      </c>
      <c r="C85" s="60" t="str">
        <f>IFERROR(__xludf.DUMMYFUNCTION("""COMPUTED_VALUE"""),"Pesanan Dinkes Tasik (Masker)")</f>
        <v>Pesanan Dinkes Tasik (Masker)</v>
      </c>
      <c r="D85" s="73"/>
      <c r="E85" s="219" t="str">
        <f>IFERROR(__xludf.DUMMYFUNCTION("""COMPUTED_VALUE"""),"Surat Pesanan Dinkes Tasikmalaya")</f>
        <v>Surat Pesanan Dinkes Tasikmalaya</v>
      </c>
      <c r="F85" s="73"/>
      <c r="G85" s="73">
        <f>IFERROR(__xludf.DUMMYFUNCTION("""COMPUTED_VALUE"""),45943.0)</f>
        <v>45943</v>
      </c>
      <c r="H85" s="59"/>
      <c r="I85" s="24">
        <f>IFERROR(__xludf.DUMMYFUNCTION("""COMPUTED_VALUE"""),81940.0)</f>
        <v>81940</v>
      </c>
      <c r="J85" s="227"/>
      <c r="K85" s="228"/>
      <c r="L85" s="229">
        <f>IFERROR(__xludf.DUMMYFUNCTION("""COMPUTED_VALUE"""),81940.0)</f>
        <v>81940</v>
      </c>
      <c r="M85" s="224">
        <v>45943.0</v>
      </c>
      <c r="N85" s="205" t="s">
        <v>1138</v>
      </c>
      <c r="O85" s="196">
        <v>81940.0</v>
      </c>
      <c r="P85" s="224">
        <v>45943.0</v>
      </c>
      <c r="Q85" s="222"/>
      <c r="R85" s="199">
        <f t="shared" si="3"/>
        <v>0</v>
      </c>
      <c r="S85" s="200"/>
      <c r="T85" s="201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</row>
    <row r="86" ht="15.75" hidden="1" customHeight="1">
      <c r="A86" s="190"/>
      <c r="B86" s="190" t="str">
        <f>IFERROR(__xludf.DUMMYFUNCTION("""COMPUTED_VALUE"""),"PT.Top Point")</f>
        <v>PT.Top Point</v>
      </c>
      <c r="C86" s="60" t="str">
        <f>IFERROR(__xludf.DUMMYFUNCTION("""COMPUTED_VALUE"""),"Pesanan RSPP ")</f>
        <v>Pesanan RSPP </v>
      </c>
      <c r="D86" s="73"/>
      <c r="E86" s="219" t="str">
        <f>IFERROR(__xludf.DUMMYFUNCTION("""COMPUTED_VALUE"""),"po rspp (6)")</f>
        <v>po rspp (6)</v>
      </c>
      <c r="F86" s="220" t="str">
        <f>IFERROR(__xludf.DUMMYFUNCTION("""COMPUTED_VALUE"""),"MPG-011025001 - TOP POINT (Pesanan RSPP) ..pdf")</f>
        <v>MPG-011025001 - TOP POINT (Pesanan RSPP) ..pdf</v>
      </c>
      <c r="G86" s="73">
        <f>IFERROR(__xludf.DUMMYFUNCTION("""COMPUTED_VALUE"""),45931.0)</f>
        <v>45931</v>
      </c>
      <c r="H86" s="59" t="str">
        <f>IFERROR(__xludf.DUMMYFUNCTION("""COMPUTED_VALUE"""),"tempo")</f>
        <v>tempo</v>
      </c>
      <c r="I86" s="24">
        <f>IFERROR(__xludf.DUMMYFUNCTION("""COMPUTED_VALUE"""),3800676.0)</f>
        <v>3800676</v>
      </c>
      <c r="J86" s="227">
        <f>IFERROR(__xludf.DUMMYFUNCTION("""COMPUTED_VALUE"""),418074.0)</f>
        <v>418074</v>
      </c>
      <c r="K86" s="228"/>
      <c r="L86" s="229">
        <f>IFERROR(__xludf.DUMMYFUNCTION("""COMPUTED_VALUE"""),4218750.0)</f>
        <v>4218750</v>
      </c>
      <c r="M86" s="224">
        <v>45967.0</v>
      </c>
      <c r="N86" s="205" t="s">
        <v>1138</v>
      </c>
      <c r="O86" s="196">
        <v>4218750.0</v>
      </c>
      <c r="P86" s="248">
        <v>45967.0</v>
      </c>
      <c r="Q86" s="222"/>
      <c r="R86" s="199">
        <f t="shared" si="3"/>
        <v>0</v>
      </c>
      <c r="S86" s="200"/>
      <c r="T86" s="201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</row>
    <row r="87" ht="15.75" hidden="1" customHeight="1">
      <c r="A87" s="190"/>
      <c r="B87" s="190" t="str">
        <f>IFERROR(__xludf.DUMMYFUNCTION("""COMPUTED_VALUE"""),"PT. Tirta Investama")</f>
        <v>PT. Tirta Investama</v>
      </c>
      <c r="C87" s="60" t="str">
        <f>IFERROR(__xludf.DUMMYFUNCTION("""COMPUTED_VALUE"""),"Galon Kantor (Pemakaian September)")</f>
        <v>Galon Kantor (Pemakaian September)</v>
      </c>
      <c r="D87" s="73"/>
      <c r="E87" s="221"/>
      <c r="F87" s="73"/>
      <c r="G87" s="73"/>
      <c r="H87" s="59"/>
      <c r="I87" s="24">
        <f>IFERROR(__xludf.DUMMYFUNCTION("""COMPUTED_VALUE"""),679999.0)</f>
        <v>679999</v>
      </c>
      <c r="J87" s="227"/>
      <c r="K87" s="228"/>
      <c r="L87" s="229">
        <f>IFERROR(__xludf.DUMMYFUNCTION("""COMPUTED_VALUE"""),679999.0)</f>
        <v>679999</v>
      </c>
      <c r="M87" s="224">
        <v>45943.0</v>
      </c>
      <c r="N87" s="205" t="s">
        <v>1138</v>
      </c>
      <c r="O87" s="196">
        <v>679999.0</v>
      </c>
      <c r="P87" s="224">
        <v>45943.0</v>
      </c>
      <c r="Q87" s="222"/>
      <c r="R87" s="199">
        <f t="shared" si="3"/>
        <v>0</v>
      </c>
      <c r="S87" s="200"/>
      <c r="T87" s="201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</row>
    <row r="88" ht="15.75" hidden="1" customHeight="1">
      <c r="A88" s="190"/>
      <c r="B88" s="190" t="str">
        <f>IFERROR(__xludf.DUMMYFUNCTION("""COMPUTED_VALUE"""),"PT. BSM")</f>
        <v>PT. BSM</v>
      </c>
      <c r="C88" s="60" t="str">
        <f>IFERROR(__xludf.DUMMYFUNCTION("""COMPUTED_VALUE"""),"Pesanan Tambahan (Dinkes Tasik) Safety Box")</f>
        <v>Pesanan Tambahan (Dinkes Tasik) Safety Box</v>
      </c>
      <c r="D88" s="73"/>
      <c r="E88" s="219" t="str">
        <f>IFERROR(__xludf.DUMMYFUNCTION("""COMPUTED_VALUE"""),"SP 53 mata pensil susulan add.jpg")</f>
        <v>SP 53 mata pensil susulan add.jpg</v>
      </c>
      <c r="F88" s="220" t="str">
        <f>IFERROR(__xludf.DUMMYFUNCTION("""COMPUTED_VALUE"""),"MPG-141025016 - PT. BSM (Safety Box).pdf")</f>
        <v>MPG-141025016 - PT. BSM (Safety Box).pdf</v>
      </c>
      <c r="G88" s="73">
        <f>IFERROR(__xludf.DUMMYFUNCTION("""COMPUTED_VALUE"""),45944.0)</f>
        <v>45944</v>
      </c>
      <c r="H88" s="59"/>
      <c r="I88" s="24">
        <f>IFERROR(__xludf.DUMMYFUNCTION("""COMPUTED_VALUE"""),612640.0)</f>
        <v>612640</v>
      </c>
      <c r="J88" s="227">
        <f>IFERROR(__xludf.DUMMYFUNCTION("""COMPUTED_VALUE"""),67390.0)</f>
        <v>67390</v>
      </c>
      <c r="K88" s="228"/>
      <c r="L88" s="229">
        <f>IFERROR(__xludf.DUMMYFUNCTION("""COMPUTED_VALUE"""),680030.0)</f>
        <v>680030</v>
      </c>
      <c r="M88" s="224">
        <v>45944.0</v>
      </c>
      <c r="N88" s="205" t="s">
        <v>1138</v>
      </c>
      <c r="O88" s="196">
        <v>680030.0</v>
      </c>
      <c r="P88" s="224">
        <v>45944.0</v>
      </c>
      <c r="Q88" s="222"/>
      <c r="R88" s="199">
        <f t="shared" si="3"/>
        <v>0</v>
      </c>
      <c r="S88" s="200"/>
      <c r="T88" s="201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</row>
    <row r="89" ht="15.75" hidden="1" customHeight="1">
      <c r="A89" s="190"/>
      <c r="B89" s="190" t="str">
        <f>IFERROR(__xludf.DUMMYFUNCTION("""COMPUTED_VALUE"""),"PT Bintang Setya Media")</f>
        <v>PT Bintang Setya Media</v>
      </c>
      <c r="C89" s="60" t="str">
        <f>IFERROR(__xludf.DUMMYFUNCTION("""COMPUTED_VALUE"""),"Pembelian Tinta Printer")</f>
        <v>Pembelian Tinta Printer</v>
      </c>
      <c r="D89" s="73"/>
      <c r="E89" s="221"/>
      <c r="F89" s="73"/>
      <c r="G89" s="73">
        <f>IFERROR(__xludf.DUMMYFUNCTION("""COMPUTED_VALUE"""),45939.0)</f>
        <v>45939</v>
      </c>
      <c r="H89" s="59"/>
      <c r="I89" s="24">
        <f>IFERROR(__xludf.DUMMYFUNCTION("""COMPUTED_VALUE"""),1000000.0)</f>
        <v>1000000</v>
      </c>
      <c r="J89" s="227"/>
      <c r="K89" s="228"/>
      <c r="L89" s="229">
        <f>IFERROR(__xludf.DUMMYFUNCTION("""COMPUTED_VALUE"""),1000000.0)</f>
        <v>1000000</v>
      </c>
      <c r="M89" s="224">
        <v>45944.0</v>
      </c>
      <c r="N89" s="205" t="s">
        <v>1138</v>
      </c>
      <c r="O89" s="196">
        <v>1000000.0</v>
      </c>
      <c r="P89" s="224">
        <v>45944.0</v>
      </c>
      <c r="Q89" s="222"/>
      <c r="R89" s="199">
        <f t="shared" si="3"/>
        <v>0</v>
      </c>
      <c r="S89" s="200"/>
      <c r="T89" s="201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</row>
    <row r="90" ht="15.75" hidden="1" customHeight="1">
      <c r="A90" s="190"/>
      <c r="B90" s="190" t="str">
        <f>IFERROR(__xludf.DUMMYFUNCTION("""COMPUTED_VALUE"""),"PT Bintang Setya Media")</f>
        <v>PT Bintang Setya Media</v>
      </c>
      <c r="C90" s="60" t="str">
        <f>IFERROR(__xludf.DUMMYFUNCTION("""COMPUTED_VALUE"""),"Pembelian Tinta Printer")</f>
        <v>Pembelian Tinta Printer</v>
      </c>
      <c r="D90" s="73"/>
      <c r="E90" s="221"/>
      <c r="F90" s="73"/>
      <c r="G90" s="73">
        <f>IFERROR(__xludf.DUMMYFUNCTION("""COMPUTED_VALUE"""),45943.0)</f>
        <v>45943</v>
      </c>
      <c r="H90" s="59"/>
      <c r="I90" s="24">
        <f>IFERROR(__xludf.DUMMYFUNCTION("""COMPUTED_VALUE"""),360000.0)</f>
        <v>360000</v>
      </c>
      <c r="J90" s="227"/>
      <c r="K90" s="228"/>
      <c r="L90" s="229">
        <f>IFERROR(__xludf.DUMMYFUNCTION("""COMPUTED_VALUE"""),360000.0)</f>
        <v>360000</v>
      </c>
      <c r="M90" s="224">
        <v>45944.0</v>
      </c>
      <c r="N90" s="205" t="s">
        <v>1138</v>
      </c>
      <c r="O90" s="196">
        <v>360000.0</v>
      </c>
      <c r="P90" s="224">
        <v>45944.0</v>
      </c>
      <c r="Q90" s="222"/>
      <c r="R90" s="199">
        <f t="shared" si="3"/>
        <v>0</v>
      </c>
      <c r="S90" s="200"/>
      <c r="T90" s="201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</row>
    <row r="91" ht="15.75" hidden="1" customHeight="1">
      <c r="A91" s="190"/>
      <c r="B91" s="190" t="str">
        <f>IFERROR(__xludf.DUMMYFUNCTION("""COMPUTED_VALUE"""),"PT. BSM")</f>
        <v>PT. BSM</v>
      </c>
      <c r="C91" s="60" t="str">
        <f>IFERROR(__xludf.DUMMYFUNCTION("""COMPUTED_VALUE"""),"Pembelian Deckglass (Dinkes Tasik)")</f>
        <v>Pembelian Deckglass (Dinkes Tasik)</v>
      </c>
      <c r="D91" s="73"/>
      <c r="E91" s="219" t="str">
        <f>IFERROR(__xludf.DUMMYFUNCTION("""COMPUTED_VALUE"""),"SP Dinkes Tasikmalaya")</f>
        <v>SP Dinkes Tasikmalaya</v>
      </c>
      <c r="F91" s="220" t="str">
        <f>IFERROR(__xludf.DUMMYFUNCTION("""COMPUTED_VALUE"""),"MPG-141025017 - PT BSM (deckglass).pdf")</f>
        <v>MPG-141025017 - PT BSM (deckglass).pdf</v>
      </c>
      <c r="G91" s="73">
        <f>IFERROR(__xludf.DUMMYFUNCTION("""COMPUTED_VALUE"""),45944.0)</f>
        <v>45944</v>
      </c>
      <c r="H91" s="59"/>
      <c r="I91" s="24">
        <f>IFERROR(__xludf.DUMMYFUNCTION("""COMPUTED_VALUE"""),720721.0)</f>
        <v>720721</v>
      </c>
      <c r="J91" s="227">
        <f>IFERROR(__xludf.DUMMYFUNCTION("""COMPUTED_VALUE"""),79279.0)</f>
        <v>79279</v>
      </c>
      <c r="K91" s="228"/>
      <c r="L91" s="229">
        <f>IFERROR(__xludf.DUMMYFUNCTION("""COMPUTED_VALUE"""),800000.0)</f>
        <v>800000</v>
      </c>
      <c r="M91" s="224">
        <v>45944.0</v>
      </c>
      <c r="N91" s="205" t="s">
        <v>1138</v>
      </c>
      <c r="O91" s="196">
        <v>800000.0</v>
      </c>
      <c r="P91" s="224">
        <v>45944.0</v>
      </c>
      <c r="Q91" s="222"/>
      <c r="R91" s="199">
        <f t="shared" si="3"/>
        <v>0</v>
      </c>
      <c r="S91" s="200"/>
      <c r="T91" s="201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</row>
    <row r="92" ht="15.75" hidden="1" customHeight="1">
      <c r="A92" s="190"/>
      <c r="B92" s="190"/>
      <c r="C92" s="60" t="str">
        <f>IFERROR(__xludf.DUMMYFUNCTION("""COMPUTED_VALUE"""),"Listrik dan Parkir Gedung ")</f>
        <v>Listrik dan Parkir Gedung </v>
      </c>
      <c r="D92" s="73"/>
      <c r="E92" s="221"/>
      <c r="F92" s="73"/>
      <c r="G92" s="73">
        <f>IFERROR(__xludf.DUMMYFUNCTION("""COMPUTED_VALUE"""),45945.0)</f>
        <v>45945</v>
      </c>
      <c r="H92" s="59"/>
      <c r="I92" s="24">
        <f>IFERROR(__xludf.DUMMYFUNCTION("""COMPUTED_VALUE"""),5710589.0)</f>
        <v>5710589</v>
      </c>
      <c r="J92" s="227"/>
      <c r="K92" s="228"/>
      <c r="L92" s="229">
        <f>IFERROR(__xludf.DUMMYFUNCTION("""COMPUTED_VALUE"""),5710589.0)</f>
        <v>5710589</v>
      </c>
      <c r="M92" s="224">
        <v>45945.0</v>
      </c>
      <c r="N92" s="205" t="s">
        <v>1138</v>
      </c>
      <c r="O92" s="196">
        <v>5710589.0</v>
      </c>
      <c r="P92" s="224">
        <v>45945.0</v>
      </c>
      <c r="Q92" s="222"/>
      <c r="R92" s="199">
        <f t="shared" si="3"/>
        <v>0</v>
      </c>
      <c r="S92" s="200"/>
      <c r="T92" s="201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</row>
    <row r="93" ht="15.75" hidden="1" customHeight="1">
      <c r="A93" s="190"/>
      <c r="B93" s="190"/>
      <c r="C93" s="60" t="str">
        <f>IFERROR(__xludf.DUMMYFUNCTION("""COMPUTED_VALUE"""),"Pengajuan dinas tasik pa agus")</f>
        <v>Pengajuan dinas tasik pa agus</v>
      </c>
      <c r="D93" s="73"/>
      <c r="E93" s="221"/>
      <c r="F93" s="73"/>
      <c r="G93" s="73">
        <f>IFERROR(__xludf.DUMMYFUNCTION("""COMPUTED_VALUE"""),45945.0)</f>
        <v>45945</v>
      </c>
      <c r="H93" s="59"/>
      <c r="I93" s="24">
        <f>IFERROR(__xludf.DUMMYFUNCTION("""COMPUTED_VALUE"""),1000000.0)</f>
        <v>1000000</v>
      </c>
      <c r="J93" s="227"/>
      <c r="K93" s="228"/>
      <c r="L93" s="229">
        <f>IFERROR(__xludf.DUMMYFUNCTION("""COMPUTED_VALUE"""),1000000.0)</f>
        <v>1000000</v>
      </c>
      <c r="M93" s="224">
        <v>45945.0</v>
      </c>
      <c r="N93" s="205" t="s">
        <v>1138</v>
      </c>
      <c r="O93" s="196">
        <v>1000000.0</v>
      </c>
      <c r="P93" s="224">
        <v>45945.0</v>
      </c>
      <c r="Q93" s="222"/>
      <c r="R93" s="199">
        <f t="shared" si="3"/>
        <v>0</v>
      </c>
      <c r="S93" s="200"/>
      <c r="T93" s="201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</row>
    <row r="94" ht="15.75" hidden="1" customHeight="1">
      <c r="A94" s="190"/>
      <c r="B94" s="190"/>
      <c r="C94" s="60" t="str">
        <f>IFERROR(__xludf.DUMMYFUNCTION("""COMPUTED_VALUE"""),"Pembayaran CDAKB")</f>
        <v>Pembayaran CDAKB</v>
      </c>
      <c r="D94" s="73"/>
      <c r="E94" s="221"/>
      <c r="F94" s="73"/>
      <c r="G94" s="73">
        <f>IFERROR(__xludf.DUMMYFUNCTION("""COMPUTED_VALUE"""),45945.0)</f>
        <v>45945</v>
      </c>
      <c r="H94" s="59"/>
      <c r="I94" s="24">
        <f>IFERROR(__xludf.DUMMYFUNCTION("""COMPUTED_VALUE"""),3000000.0)</f>
        <v>3000000</v>
      </c>
      <c r="J94" s="227"/>
      <c r="K94" s="228"/>
      <c r="L94" s="229">
        <f>IFERROR(__xludf.DUMMYFUNCTION("""COMPUTED_VALUE"""),3000000.0)</f>
        <v>3000000</v>
      </c>
      <c r="M94" s="224">
        <v>45945.0</v>
      </c>
      <c r="N94" s="205" t="s">
        <v>1138</v>
      </c>
      <c r="O94" s="196">
        <v>3000000.0</v>
      </c>
      <c r="P94" s="224">
        <v>45945.0</v>
      </c>
      <c r="Q94" s="222"/>
      <c r="R94" s="199">
        <f t="shared" si="3"/>
        <v>0</v>
      </c>
      <c r="S94" s="200"/>
      <c r="T94" s="201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</row>
    <row r="95" ht="15.75" hidden="1" customHeight="1">
      <c r="A95" s="190"/>
      <c r="B95" s="190" t="str">
        <f>IFERROR(__xludf.DUMMYFUNCTION("""COMPUTED_VALUE"""),"PT. Top Point")</f>
        <v>PT. Top Point</v>
      </c>
      <c r="C95" s="60" t="str">
        <f>IFERROR(__xludf.DUMMYFUNCTION("""COMPUTED_VALUE"""),"Pemesanan PO Ke 8 (RSPP)")</f>
        <v>Pemesanan PO Ke 8 (RSPP)</v>
      </c>
      <c r="D95" s="73"/>
      <c r="E95" s="219" t="str">
        <f>IFERROR(__xludf.DUMMYFUNCTION("""COMPUTED_VALUE"""),"sp rspp (po 8)")</f>
        <v>sp rspp (po 8)</v>
      </c>
      <c r="F95" s="220" t="str">
        <f>IFERROR(__xludf.DUMMYFUNCTION("""COMPUTED_VALUE"""),"MPG-131025011 - Top Point (RSPP).pdf")</f>
        <v>MPG-131025011 - Top Point (RSPP).pdf</v>
      </c>
      <c r="G95" s="73">
        <f>IFERROR(__xludf.DUMMYFUNCTION("""COMPUTED_VALUE"""),45940.0)</f>
        <v>45940</v>
      </c>
      <c r="H95" s="59" t="str">
        <f>IFERROR(__xludf.DUMMYFUNCTION("""COMPUTED_VALUE"""),"tempo")</f>
        <v>tempo</v>
      </c>
      <c r="I95" s="24">
        <f>IFERROR(__xludf.DUMMYFUNCTION("""COMPUTED_VALUE"""),4560810.81081081)</f>
        <v>4560810.811</v>
      </c>
      <c r="J95" s="227">
        <f>IFERROR(__xludf.DUMMYFUNCTION("""COMPUTED_VALUE"""),501689.1891891891)</f>
        <v>501689.1892</v>
      </c>
      <c r="K95" s="228"/>
      <c r="L95" s="229">
        <f>IFERROR(__xludf.DUMMYFUNCTION("""COMPUTED_VALUE"""),5062500.0)</f>
        <v>5062500</v>
      </c>
      <c r="M95" s="224">
        <v>45973.0</v>
      </c>
      <c r="N95" s="205" t="s">
        <v>1138</v>
      </c>
      <c r="O95" s="199">
        <f t="shared" ref="O95:O96" si="6">L95</f>
        <v>5062500</v>
      </c>
      <c r="P95" s="224">
        <v>45973.0</v>
      </c>
      <c r="Q95" s="222"/>
      <c r="R95" s="199">
        <f t="shared" si="3"/>
        <v>0</v>
      </c>
      <c r="S95" s="218" t="s">
        <v>508</v>
      </c>
      <c r="T95" s="201"/>
      <c r="U95" s="46" t="s">
        <v>1152</v>
      </c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</row>
    <row r="96" ht="15.75" hidden="1" customHeight="1">
      <c r="A96" s="190"/>
      <c r="B96" s="190" t="str">
        <f>IFERROR(__xludf.DUMMYFUNCTION("""COMPUTED_VALUE"""),"PT. Top Point")</f>
        <v>PT. Top Point</v>
      </c>
      <c r="C96" s="60" t="str">
        <f>IFERROR(__xludf.DUMMYFUNCTION("""COMPUTED_VALUE"""),"Stock suntikan rspp")</f>
        <v>Stock suntikan rspp</v>
      </c>
      <c r="D96" s="73"/>
      <c r="E96" s="219" t="str">
        <f>IFERROR(__xludf.DUMMYFUNCTION("""COMPUTED_VALUE"""),"RSPP - (PO KE 9)")</f>
        <v>RSPP - (PO KE 9)</v>
      </c>
      <c r="F96" s="220" t="str">
        <f>IFERROR(__xludf.DUMMYFUNCTION("""COMPUTED_VALUE"""),"MPG-141025019 - Top Point (Stock RSPP).pdf")</f>
        <v>MPG-141025019 - Top Point (Stock RSPP).pdf</v>
      </c>
      <c r="G96" s="73">
        <f>IFERROR(__xludf.DUMMYFUNCTION("""COMPUTED_VALUE"""),45946.0)</f>
        <v>45946</v>
      </c>
      <c r="H96" s="59" t="str">
        <f>IFERROR(__xludf.DUMMYFUNCTION("""COMPUTED_VALUE"""),"tempo")</f>
        <v>tempo</v>
      </c>
      <c r="I96" s="24">
        <f>IFERROR(__xludf.DUMMYFUNCTION("""COMPUTED_VALUE"""),6081081.0)</f>
        <v>6081081</v>
      </c>
      <c r="J96" s="227">
        <f>IFERROR(__xludf.DUMMYFUNCTION("""COMPUTED_VALUE"""),668919.0)</f>
        <v>668919</v>
      </c>
      <c r="K96" s="228"/>
      <c r="L96" s="229">
        <f>IFERROR(__xludf.DUMMYFUNCTION("""COMPUTED_VALUE"""),6750000.0)</f>
        <v>6750000</v>
      </c>
      <c r="M96" s="224">
        <v>45986.0</v>
      </c>
      <c r="N96" s="205" t="s">
        <v>1138</v>
      </c>
      <c r="O96" s="199">
        <f t="shared" si="6"/>
        <v>6750000</v>
      </c>
      <c r="P96" s="248">
        <v>45986.0</v>
      </c>
      <c r="Q96" s="222"/>
      <c r="R96" s="199">
        <f t="shared" si="3"/>
        <v>0</v>
      </c>
      <c r="S96" s="218" t="s">
        <v>508</v>
      </c>
      <c r="T96" s="201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</row>
    <row r="97" ht="15.75" hidden="1" customHeight="1">
      <c r="A97" s="190"/>
      <c r="B97" s="190"/>
      <c r="C97" s="60" t="str">
        <f>IFERROR(__xludf.DUMMYFUNCTION("""COMPUTED_VALUE"""),"Lalamove antar barang pesanan rs adjidarmo")</f>
        <v>Lalamove antar barang pesanan rs adjidarmo</v>
      </c>
      <c r="D97" s="73"/>
      <c r="E97" s="221"/>
      <c r="F97" s="73"/>
      <c r="G97" s="73">
        <f>IFERROR(__xludf.DUMMYFUNCTION("""COMPUTED_VALUE"""),45946.0)</f>
        <v>45946</v>
      </c>
      <c r="H97" s="59"/>
      <c r="I97" s="24">
        <f>IFERROR(__xludf.DUMMYFUNCTION("""COMPUTED_VALUE"""),300000.0)</f>
        <v>300000</v>
      </c>
      <c r="J97" s="227"/>
      <c r="K97" s="228"/>
      <c r="L97" s="229">
        <f>IFERROR(__xludf.DUMMYFUNCTION("""COMPUTED_VALUE"""),300000.0)</f>
        <v>300000</v>
      </c>
      <c r="M97" s="224">
        <v>45946.0</v>
      </c>
      <c r="N97" s="205" t="s">
        <v>1138</v>
      </c>
      <c r="O97" s="196">
        <v>300000.0</v>
      </c>
      <c r="P97" s="224">
        <v>45946.0</v>
      </c>
      <c r="Q97" s="222"/>
      <c r="R97" s="199">
        <f t="shared" si="3"/>
        <v>0</v>
      </c>
      <c r="S97" s="200"/>
      <c r="T97" s="201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</row>
    <row r="98" ht="15.75" hidden="1" customHeight="1">
      <c r="A98" s="190"/>
      <c r="B98" s="190"/>
      <c r="C98" s="60" t="str">
        <f>IFERROR(__xludf.DUMMYFUNCTION("""COMPUTED_VALUE"""),"Advance rizky bertemu kepala pkm pasir angin")</f>
        <v>Advance rizky bertemu kepala pkm pasir angin</v>
      </c>
      <c r="D98" s="73"/>
      <c r="E98" s="221"/>
      <c r="F98" s="73"/>
      <c r="G98" s="73">
        <f>IFERROR(__xludf.DUMMYFUNCTION("""COMPUTED_VALUE"""),45946.0)</f>
        <v>45946</v>
      </c>
      <c r="H98" s="59"/>
      <c r="I98" s="24">
        <f>IFERROR(__xludf.DUMMYFUNCTION("""COMPUTED_VALUE"""),500000.0)</f>
        <v>500000</v>
      </c>
      <c r="J98" s="227"/>
      <c r="K98" s="228"/>
      <c r="L98" s="229">
        <f>IFERROR(__xludf.DUMMYFUNCTION("""COMPUTED_VALUE"""),500000.0)</f>
        <v>500000</v>
      </c>
      <c r="M98" s="224">
        <v>45946.0</v>
      </c>
      <c r="N98" s="205" t="s">
        <v>1138</v>
      </c>
      <c r="O98" s="196">
        <v>500000.0</v>
      </c>
      <c r="P98" s="224">
        <v>45946.0</v>
      </c>
      <c r="Q98" s="222"/>
      <c r="R98" s="199">
        <f t="shared" si="3"/>
        <v>0</v>
      </c>
      <c r="S98" s="200"/>
      <c r="T98" s="201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</row>
    <row r="99" ht="15.75" hidden="1" customHeight="1">
      <c r="A99" s="190"/>
      <c r="B99" s="190"/>
      <c r="C99" s="60" t="str">
        <f>IFERROR(__xludf.DUMMYFUNCTION("""COMPUTED_VALUE"""),"Pembelian pesanan (UPK KEMENKES)")</f>
        <v>Pembelian pesanan (UPK KEMENKES)</v>
      </c>
      <c r="D99" s="73"/>
      <c r="E99" s="219" t="str">
        <f>IFERROR(__xludf.DUMMYFUNCTION("""COMPUTED_VALUE"""),"surat-pesanan-EP-01K7DPKYXJ1AF4X8HQ0MZ3N8DV UPK KEMENKES.pdf")</f>
        <v>surat-pesanan-EP-01K7DPKYXJ1AF4X8HQ0MZ3N8DV UPK KEMENKES.pdf</v>
      </c>
      <c r="F99" s="73"/>
      <c r="G99" s="73">
        <f>IFERROR(__xludf.DUMMYFUNCTION("""COMPUTED_VALUE"""),45947.0)</f>
        <v>45947</v>
      </c>
      <c r="H99" s="59"/>
      <c r="I99" s="24">
        <f>IFERROR(__xludf.DUMMYFUNCTION("""COMPUTED_VALUE"""),328500.0)</f>
        <v>328500</v>
      </c>
      <c r="J99" s="227"/>
      <c r="K99" s="228"/>
      <c r="L99" s="229">
        <f>IFERROR(__xludf.DUMMYFUNCTION("""COMPUTED_VALUE"""),328500.0)</f>
        <v>328500</v>
      </c>
      <c r="M99" s="224">
        <v>45947.0</v>
      </c>
      <c r="N99" s="205" t="s">
        <v>1138</v>
      </c>
      <c r="O99" s="196">
        <v>328500.0</v>
      </c>
      <c r="P99" s="224">
        <v>45947.0</v>
      </c>
      <c r="Q99" s="222"/>
      <c r="R99" s="199">
        <f t="shared" si="3"/>
        <v>0</v>
      </c>
      <c r="S99" s="200"/>
      <c r="T99" s="201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</row>
    <row r="100" ht="15.75" hidden="1" customHeight="1">
      <c r="A100" s="190"/>
      <c r="B100" s="190" t="str">
        <f>IFERROR(__xludf.DUMMYFUNCTION("""COMPUTED_VALUE"""),"PT. MBC")</f>
        <v>PT. MBC</v>
      </c>
      <c r="C100" s="60" t="str">
        <f>IFERROR(__xludf.DUMMYFUNCTION("""COMPUTED_VALUE"""),"Pembelian ganti barang rusak (pkm balekambang)")</f>
        <v>Pembelian ganti barang rusak (pkm balekambang)</v>
      </c>
      <c r="D100" s="73"/>
      <c r="E100" s="219" t="str">
        <f>IFERROR(__xludf.DUMMYFUNCTION("""COMPUTED_VALUE"""),"Pesanan Balekambang ")</f>
        <v>Pesanan Balekambang </v>
      </c>
      <c r="F100" s="73"/>
      <c r="G100" s="73"/>
      <c r="H100" s="59"/>
      <c r="I100" s="24">
        <f>IFERROR(__xludf.DUMMYFUNCTION("""COMPUTED_VALUE"""),536250.0)</f>
        <v>536250</v>
      </c>
      <c r="J100" s="227">
        <f>IFERROR(__xludf.DUMMYFUNCTION("""COMPUTED_VALUE"""),58988.0)</f>
        <v>58988</v>
      </c>
      <c r="K100" s="228"/>
      <c r="L100" s="229">
        <f>IFERROR(__xludf.DUMMYFUNCTION("""COMPUTED_VALUE"""),595238.0)</f>
        <v>595238</v>
      </c>
      <c r="M100" s="224">
        <v>45947.0</v>
      </c>
      <c r="N100" s="205" t="s">
        <v>1138</v>
      </c>
      <c r="O100" s="196">
        <v>595238.0</v>
      </c>
      <c r="P100" s="224">
        <v>45947.0</v>
      </c>
      <c r="Q100" s="222"/>
      <c r="R100" s="199">
        <f t="shared" si="3"/>
        <v>0</v>
      </c>
      <c r="S100" s="200"/>
      <c r="T100" s="201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</row>
    <row r="101" ht="15.75" hidden="1" customHeight="1">
      <c r="A101" s="190"/>
      <c r="B101" s="190"/>
      <c r="C101" s="60" t="str">
        <f>IFERROR(__xludf.DUMMYFUNCTION("""COMPUTED_VALUE"""),"Reimburse Kibo (17 okt 25)")</f>
        <v>Reimburse Kibo (17 okt 25)</v>
      </c>
      <c r="D101" s="73"/>
      <c r="E101" s="221"/>
      <c r="F101" s="73"/>
      <c r="G101" s="73"/>
      <c r="H101" s="59"/>
      <c r="I101" s="24">
        <f>IFERROR(__xludf.DUMMYFUNCTION("""COMPUTED_VALUE"""),563000.0)</f>
        <v>563000</v>
      </c>
      <c r="J101" s="227"/>
      <c r="K101" s="228"/>
      <c r="L101" s="229">
        <f>IFERROR(__xludf.DUMMYFUNCTION("""COMPUTED_VALUE"""),563000.0)</f>
        <v>563000</v>
      </c>
      <c r="M101" s="224">
        <v>45947.0</v>
      </c>
      <c r="N101" s="205" t="s">
        <v>1138</v>
      </c>
      <c r="O101" s="196">
        <v>563000.0</v>
      </c>
      <c r="P101" s="224">
        <v>45947.0</v>
      </c>
      <c r="Q101" s="222"/>
      <c r="R101" s="199">
        <f t="shared" si="3"/>
        <v>0</v>
      </c>
      <c r="S101" s="200"/>
      <c r="T101" s="201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</row>
    <row r="102" ht="15.75" hidden="1" customHeight="1">
      <c r="A102" s="190"/>
      <c r="B102" s="190"/>
      <c r="C102" s="60" t="str">
        <f>IFERROR(__xludf.DUMMYFUNCTION("""COMPUTED_VALUE"""),"Pembelian GC Fuji ix 5 Pack (Pesanan PKM Cileungsi)")</f>
        <v>Pembelian GC Fuji ix 5 Pack (Pesanan PKM Cileungsi)</v>
      </c>
      <c r="D102" s="73"/>
      <c r="E102" s="219" t="str">
        <f>IFERROR(__xludf.DUMMYFUNCTION("""COMPUTED_VALUE"""),"sp gigi.pdf")</f>
        <v>sp gigi.pdf</v>
      </c>
      <c r="F102" s="73"/>
      <c r="G102" s="73"/>
      <c r="H102" s="59"/>
      <c r="I102" s="24">
        <f>IFERROR(__xludf.DUMMYFUNCTION("""COMPUTED_VALUE"""),4266000.0)</f>
        <v>4266000</v>
      </c>
      <c r="J102" s="227"/>
      <c r="K102" s="228"/>
      <c r="L102" s="229">
        <f>IFERROR(__xludf.DUMMYFUNCTION("""COMPUTED_VALUE"""),4266000.0)</f>
        <v>4266000</v>
      </c>
      <c r="M102" s="224">
        <v>45950.0</v>
      </c>
      <c r="N102" s="205" t="s">
        <v>1138</v>
      </c>
      <c r="O102" s="196">
        <v>4266000.0</v>
      </c>
      <c r="P102" s="224">
        <v>45950.0</v>
      </c>
      <c r="Q102" s="222"/>
      <c r="R102" s="199">
        <f t="shared" si="3"/>
        <v>0</v>
      </c>
      <c r="S102" s="200"/>
      <c r="T102" s="201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</row>
    <row r="103" ht="15.75" hidden="1" customHeight="1">
      <c r="A103" s="190"/>
      <c r="B103" s="190" t="str">
        <f>IFERROR(__xludf.DUMMYFUNCTION("""COMPUTED_VALUE"""),"PT. WHIRA PITOE")</f>
        <v>PT. WHIRA PITOE</v>
      </c>
      <c r="C103" s="60" t="str">
        <f>IFERROR(__xludf.DUMMYFUNCTION("""COMPUTED_VALUE"""),"Pembelian Reagen Asam urat (pesanan dinkes tasik)")</f>
        <v>Pembelian Reagen Asam urat (pesanan dinkes tasik)</v>
      </c>
      <c r="D103" s="73"/>
      <c r="E103" s="219" t="str">
        <f>IFERROR(__xludf.DUMMYFUNCTION("""COMPUTED_VALUE"""),"SP dinkes tasik (po 4).jpg")</f>
        <v>SP dinkes tasik (po 4).jpg</v>
      </c>
      <c r="F103" s="220" t="str">
        <f>IFERROR(__xludf.DUMMYFUNCTION("""COMPUTED_VALUE"""),"MPG-211025023 - PT. WHIRA PITOE (URIC ACID BIOMAXIMA).pdf")</f>
        <v>MPG-211025023 - PT. WHIRA PITOE (URIC ACID BIOMAXIMA).pdf</v>
      </c>
      <c r="G103" s="73"/>
      <c r="H103" s="59"/>
      <c r="I103" s="24">
        <f>IFERROR(__xludf.DUMMYFUNCTION("""COMPUTED_VALUE"""),936000.0)</f>
        <v>936000</v>
      </c>
      <c r="J103" s="227">
        <f>IFERROR(__xludf.DUMMYFUNCTION("""COMPUTED_VALUE"""),102960.0)</f>
        <v>102960</v>
      </c>
      <c r="K103" s="228"/>
      <c r="L103" s="229">
        <f>IFERROR(__xludf.DUMMYFUNCTION("""COMPUTED_VALUE"""),1038960.0)</f>
        <v>1038960</v>
      </c>
      <c r="M103" s="224">
        <v>45952.0</v>
      </c>
      <c r="N103" s="205" t="s">
        <v>1138</v>
      </c>
      <c r="O103" s="196">
        <v>1038960.0</v>
      </c>
      <c r="P103" s="224">
        <v>45952.0</v>
      </c>
      <c r="Q103" s="222"/>
      <c r="R103" s="199">
        <f t="shared" si="3"/>
        <v>0</v>
      </c>
      <c r="S103" s="200"/>
      <c r="T103" s="201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</row>
    <row r="104" ht="15.75" hidden="1" customHeight="1">
      <c r="A104" s="190"/>
      <c r="B104" s="190" t="str">
        <f>IFERROR(__xludf.DUMMYFUNCTION("""COMPUTED_VALUE"""),"PT. BSM")</f>
        <v>PT. BSM</v>
      </c>
      <c r="C104" s="60" t="str">
        <f>IFERROR(__xludf.DUMMYFUNCTION("""COMPUTED_VALUE"""),"Pembelian Spuit BD 5cc (pesanan dinkes tasik)")</f>
        <v>Pembelian Spuit BD 5cc (pesanan dinkes tasik)</v>
      </c>
      <c r="D104" s="73"/>
      <c r="E104" s="219" t="str">
        <f>IFERROR(__xludf.DUMMYFUNCTION("""COMPUTED_VALUE"""),"SP dinkes tasik (po 4).jpg")</f>
        <v>SP dinkes tasik (po 4).jpg</v>
      </c>
      <c r="F104" s="220" t="str">
        <f>IFERROR(__xludf.DUMMYFUNCTION("""COMPUTED_VALUE"""),"MPG-221025025 - PT. BSM (SPUIT BD 5CC).pdf")</f>
        <v>MPG-221025025 - PT. BSM (SPUIT BD 5CC).pdf</v>
      </c>
      <c r="G104" s="73"/>
      <c r="H104" s="59"/>
      <c r="I104" s="24">
        <f>IFERROR(__xludf.DUMMYFUNCTION("""COMPUTED_VALUE"""),333334.0)</f>
        <v>333334</v>
      </c>
      <c r="J104" s="227">
        <f>IFERROR(__xludf.DUMMYFUNCTION("""COMPUTED_VALUE"""),36667.0)</f>
        <v>36667</v>
      </c>
      <c r="K104" s="228"/>
      <c r="L104" s="229">
        <f>IFERROR(__xludf.DUMMYFUNCTION("""COMPUTED_VALUE"""),370001.0)</f>
        <v>370001</v>
      </c>
      <c r="M104" s="224">
        <v>45952.0</v>
      </c>
      <c r="N104" s="205" t="s">
        <v>1138</v>
      </c>
      <c r="O104" s="196">
        <v>370001.0</v>
      </c>
      <c r="P104" s="224">
        <v>45952.0</v>
      </c>
      <c r="Q104" s="222"/>
      <c r="R104" s="199">
        <f t="shared" si="3"/>
        <v>0</v>
      </c>
      <c r="S104" s="200"/>
      <c r="T104" s="201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</row>
    <row r="105" ht="15.75" hidden="1" customHeight="1">
      <c r="A105" s="190"/>
      <c r="B105" s="190" t="str">
        <f>IFERROR(__xludf.DUMMYFUNCTION("""COMPUTED_VALUE"""),"PT. DHYAS MITRA USAHA")</f>
        <v>PT. DHYAS MITRA USAHA</v>
      </c>
      <c r="C105" s="60" t="str">
        <f>IFERROR(__xludf.DUMMYFUNCTION("""COMPUTED_VALUE"""),"Pembelian Okplast dan Alcohol Swab (Pesanan Dinkes tasik)")</f>
        <v>Pembelian Okplast dan Alcohol Swab (Pesanan Dinkes tasik)</v>
      </c>
      <c r="D105" s="73"/>
      <c r="E105" s="219" t="str">
        <f>IFERROR(__xludf.DUMMYFUNCTION("""COMPUTED_VALUE"""),"SP dinkes tasik (po 4).jpg")</f>
        <v>SP dinkes tasik (po 4).jpg</v>
      </c>
      <c r="F105" s="220" t="str">
        <f>IFERROR(__xludf.DUMMYFUNCTION("""COMPUTED_VALUE"""),"MPG-221025024 - PT DHYAS MITRA USAHA (ALCOHOL SWAB DAN OKPLAST).pdf")</f>
        <v>MPG-221025024 - PT DHYAS MITRA USAHA (ALCOHOL SWAB DAN OKPLAST).pdf</v>
      </c>
      <c r="G105" s="73"/>
      <c r="H105" s="59"/>
      <c r="I105" s="24">
        <f>IFERROR(__xludf.DUMMYFUNCTION("""COMPUTED_VALUE"""),455800.0)</f>
        <v>455800</v>
      </c>
      <c r="J105" s="227"/>
      <c r="K105" s="228"/>
      <c r="L105" s="229">
        <f>IFERROR(__xludf.DUMMYFUNCTION("""COMPUTED_VALUE"""),455800.0)</f>
        <v>455800</v>
      </c>
      <c r="M105" s="224">
        <v>45952.0</v>
      </c>
      <c r="N105" s="205" t="s">
        <v>1138</v>
      </c>
      <c r="O105" s="196">
        <v>455800.0</v>
      </c>
      <c r="P105" s="224">
        <v>45952.0</v>
      </c>
      <c r="Q105" s="222"/>
      <c r="R105" s="199">
        <f t="shared" si="3"/>
        <v>0</v>
      </c>
      <c r="S105" s="200"/>
      <c r="T105" s="201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</row>
    <row r="106" ht="15.75" hidden="1" customHeight="1">
      <c r="A106" s="190"/>
      <c r="B106" s="190"/>
      <c r="C106" s="60" t="str">
        <f>IFERROR(__xludf.DUMMYFUNCTION("""COMPUTED_VALUE"""),"Top Up petty cash")</f>
        <v>Top Up petty cash</v>
      </c>
      <c r="D106" s="73"/>
      <c r="E106" s="221"/>
      <c r="F106" s="73"/>
      <c r="G106" s="73"/>
      <c r="H106" s="59"/>
      <c r="I106" s="24">
        <f>IFERROR(__xludf.DUMMYFUNCTION("""COMPUTED_VALUE"""),5000000.0)</f>
        <v>5000000</v>
      </c>
      <c r="J106" s="227"/>
      <c r="K106" s="228"/>
      <c r="L106" s="229">
        <f>IFERROR(__xludf.DUMMYFUNCTION("""COMPUTED_VALUE"""),5000000.0)</f>
        <v>5000000</v>
      </c>
      <c r="M106" s="224">
        <v>45952.0</v>
      </c>
      <c r="N106" s="205" t="s">
        <v>1138</v>
      </c>
      <c r="O106" s="196">
        <v>5000000.0</v>
      </c>
      <c r="P106" s="224">
        <v>45952.0</v>
      </c>
      <c r="Q106" s="222"/>
      <c r="R106" s="199">
        <f t="shared" si="3"/>
        <v>0</v>
      </c>
      <c r="S106" s="200"/>
      <c r="T106" s="201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</row>
    <row r="107" ht="15.75" hidden="1" customHeight="1">
      <c r="A107" s="190"/>
      <c r="B107" s="190"/>
      <c r="C107" s="60" t="str">
        <f>IFERROR(__xludf.DUMMYFUNCTION("""COMPUTED_VALUE"""),"Uang kecelakaan ka yudith")</f>
        <v>Uang kecelakaan ka yudith</v>
      </c>
      <c r="D107" s="73"/>
      <c r="E107" s="221"/>
      <c r="F107" s="73"/>
      <c r="G107" s="73"/>
      <c r="H107" s="59"/>
      <c r="I107" s="24">
        <f>IFERROR(__xludf.DUMMYFUNCTION("""COMPUTED_VALUE"""),2500000.0)</f>
        <v>2500000</v>
      </c>
      <c r="J107" s="227"/>
      <c r="K107" s="228"/>
      <c r="L107" s="229">
        <f>IFERROR(__xludf.DUMMYFUNCTION("""COMPUTED_VALUE"""),2500000.0)</f>
        <v>2500000</v>
      </c>
      <c r="M107" s="224">
        <v>45952.0</v>
      </c>
      <c r="N107" s="205" t="s">
        <v>1138</v>
      </c>
      <c r="O107" s="196">
        <v>2500000.0</v>
      </c>
      <c r="P107" s="224">
        <v>45952.0</v>
      </c>
      <c r="Q107" s="222"/>
      <c r="R107" s="199">
        <f t="shared" si="3"/>
        <v>0</v>
      </c>
      <c r="S107" s="200"/>
      <c r="T107" s="201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</row>
    <row r="108" ht="15.75" hidden="1" customHeight="1">
      <c r="A108" s="190"/>
      <c r="B108" s="190"/>
      <c r="C108" s="60" t="str">
        <f>IFERROR(__xludf.DUMMYFUNCTION("""COMPUTED_VALUE"""),"Kasbon Oprasional Pak Nasir")</f>
        <v>Kasbon Oprasional Pak Nasir</v>
      </c>
      <c r="D108" s="73"/>
      <c r="E108" s="221"/>
      <c r="F108" s="73"/>
      <c r="G108" s="73"/>
      <c r="H108" s="59"/>
      <c r="I108" s="24">
        <f>IFERROR(__xludf.DUMMYFUNCTION("""COMPUTED_VALUE"""),1.3E7)</f>
        <v>13000000</v>
      </c>
      <c r="J108" s="227"/>
      <c r="K108" s="228"/>
      <c r="L108" s="229">
        <f>IFERROR(__xludf.DUMMYFUNCTION("""COMPUTED_VALUE"""),1.3E7)</f>
        <v>13000000</v>
      </c>
      <c r="M108" s="224">
        <v>45952.0</v>
      </c>
      <c r="N108" s="205" t="s">
        <v>1138</v>
      </c>
      <c r="O108" s="196">
        <v>1.3E7</v>
      </c>
      <c r="P108" s="224">
        <v>45952.0</v>
      </c>
      <c r="Q108" s="222"/>
      <c r="R108" s="199">
        <f t="shared" si="3"/>
        <v>0</v>
      </c>
      <c r="S108" s="200"/>
      <c r="T108" s="201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</row>
    <row r="109" ht="15.75" hidden="1" customHeight="1">
      <c r="A109" s="190"/>
      <c r="B109" s="190" t="str">
        <f>IFERROR(__xludf.DUMMYFUNCTION("""COMPUTED_VALUE"""),"PT. Tripatria")</f>
        <v>PT. Tripatria</v>
      </c>
      <c r="C109" s="60" t="str">
        <f>IFERROR(__xludf.DUMMYFUNCTION("""COMPUTED_VALUE"""),"Pembelian pesanan Dinkes Bogor")</f>
        <v>Pembelian pesanan Dinkes Bogor</v>
      </c>
      <c r="D109" s="73"/>
      <c r="E109" s="219" t="str">
        <f>IFERROR(__xludf.DUMMYFUNCTION("""COMPUTED_VALUE"""),"surat-pesanan-EP-01K6WCTJWYE165YPZMK0EMZMER (1).pdf")</f>
        <v>surat-pesanan-EP-01K6WCTJWYE165YPZMK0EMZMER (1).pdf</v>
      </c>
      <c r="F109" s="73"/>
      <c r="G109" s="73"/>
      <c r="H109" s="59"/>
      <c r="I109" s="24">
        <f>IFERROR(__xludf.DUMMYFUNCTION("""COMPUTED_VALUE"""),1.077175E7)</f>
        <v>10771750</v>
      </c>
      <c r="J109" s="227">
        <f>IFERROR(__xludf.DUMMYFUNCTION("""COMPUTED_VALUE"""),1184892.0)</f>
        <v>1184892</v>
      </c>
      <c r="K109" s="228"/>
      <c r="L109" s="229">
        <f>IFERROR(__xludf.DUMMYFUNCTION("""COMPUTED_VALUE"""),1.1956642E7)</f>
        <v>11956642</v>
      </c>
      <c r="M109" s="211" t="s">
        <v>1153</v>
      </c>
      <c r="N109" s="205" t="s">
        <v>1138</v>
      </c>
      <c r="O109" s="199">
        <f t="shared" ref="O109:O110" si="7">L109</f>
        <v>11956642</v>
      </c>
      <c r="P109" s="211" t="s">
        <v>1153</v>
      </c>
      <c r="Q109" s="222"/>
      <c r="R109" s="199">
        <f t="shared" si="3"/>
        <v>0</v>
      </c>
      <c r="S109" s="200"/>
      <c r="T109" s="201"/>
      <c r="U109" s="46" t="s">
        <v>1154</v>
      </c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</row>
    <row r="110" ht="15.75" hidden="1" customHeight="1">
      <c r="A110" s="190"/>
      <c r="B110" s="190" t="str">
        <f>IFERROR(__xludf.DUMMYFUNCTION("""COMPUTED_VALUE"""),"PT. SMS")</f>
        <v>PT. SMS</v>
      </c>
      <c r="C110" s="60" t="str">
        <f>IFERROR(__xludf.DUMMYFUNCTION("""COMPUTED_VALUE"""),"Pembelian pesanan Dinkes Bogor")</f>
        <v>Pembelian pesanan Dinkes Bogor</v>
      </c>
      <c r="D110" s="73"/>
      <c r="E110" s="219" t="str">
        <f>IFERROR(__xludf.DUMMYFUNCTION("""COMPUTED_VALUE"""),"surat-pesanan-EP-01K6WCTJWYE165YPZMK0EMZMER (1).pdf")</f>
        <v>surat-pesanan-EP-01K6WCTJWYE165YPZMK0EMZMER (1).pdf</v>
      </c>
      <c r="F110" s="220" t="str">
        <f>IFERROR(__xludf.DUMMYFUNCTION("""COMPUTED_VALUE"""),"MPG-231025028 - PT. SMS.pdf")</f>
        <v>MPG-231025028 - PT. SMS.pdf</v>
      </c>
      <c r="G110" s="73"/>
      <c r="H110" s="59"/>
      <c r="I110" s="24">
        <f>IFERROR(__xludf.DUMMYFUNCTION("""COMPUTED_VALUE"""),2.677464E7)</f>
        <v>26774640</v>
      </c>
      <c r="J110" s="227">
        <f>IFERROR(__xludf.DUMMYFUNCTION("""COMPUTED_VALUE"""),2945210.0)</f>
        <v>2945210</v>
      </c>
      <c r="K110" s="228"/>
      <c r="L110" s="229">
        <f>IFERROR(__xludf.DUMMYFUNCTION("""COMPUTED_VALUE"""),2.971985E7)</f>
        <v>29719850</v>
      </c>
      <c r="M110" s="224">
        <v>45958.0</v>
      </c>
      <c r="N110" s="205" t="s">
        <v>1138</v>
      </c>
      <c r="O110" s="199">
        <f t="shared" si="7"/>
        <v>29719850</v>
      </c>
      <c r="P110" s="249"/>
      <c r="Q110" s="222"/>
      <c r="R110" s="199">
        <f t="shared" si="3"/>
        <v>0</v>
      </c>
      <c r="S110" s="200"/>
      <c r="T110" s="201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</row>
    <row r="111" ht="15.75" hidden="1" customHeight="1">
      <c r="A111" s="190"/>
      <c r="B111" s="190" t="str">
        <f>IFERROR(__xludf.DUMMYFUNCTION("""COMPUTED_VALUE"""),"PT. Elba Lab Medika")</f>
        <v>PT. Elba Lab Medika</v>
      </c>
      <c r="C111" s="60" t="str">
        <f>IFERROR(__xludf.DUMMYFUNCTION("""COMPUTED_VALUE"""),"Pembelian pesanan Dinkes Bogor")</f>
        <v>Pembelian pesanan Dinkes Bogor</v>
      </c>
      <c r="D111" s="73"/>
      <c r="E111" s="219" t="str">
        <f>IFERROR(__xludf.DUMMYFUNCTION("""COMPUTED_VALUE"""),"surat-pesanan-EP-01K6WCTJWYE165YPZMK0EMZMER (1).pdf")</f>
        <v>surat-pesanan-EP-01K6WCTJWYE165YPZMK0EMZMER (1).pdf</v>
      </c>
      <c r="F111" s="220" t="str">
        <f>IFERROR(__xludf.DUMMYFUNCTION("""COMPUTED_VALUE"""),"MPG-231025026 - PT. ELBA LAB MEDIKA.pdf")</f>
        <v>MPG-231025026 - PT. ELBA LAB MEDIKA.pdf</v>
      </c>
      <c r="G111" s="73"/>
      <c r="H111" s="59"/>
      <c r="I111" s="24">
        <f>IFERROR(__xludf.DUMMYFUNCTION("""COMPUTED_VALUE"""),1.871051E7)</f>
        <v>18710510</v>
      </c>
      <c r="J111" s="227">
        <f>IFERROR(__xludf.DUMMYFUNCTION("""COMPUTED_VALUE"""),2058156.0)</f>
        <v>2058156</v>
      </c>
      <c r="K111" s="228"/>
      <c r="L111" s="229">
        <f>IFERROR(__xludf.DUMMYFUNCTION("""COMPUTED_VALUE"""),2.0768666E7)</f>
        <v>20768666</v>
      </c>
      <c r="M111" s="224">
        <v>45954.0</v>
      </c>
      <c r="N111" s="205" t="s">
        <v>1138</v>
      </c>
      <c r="O111" s="196">
        <v>2.0768666E7</v>
      </c>
      <c r="P111" s="215">
        <v>45954.0</v>
      </c>
      <c r="Q111" s="222"/>
      <c r="R111" s="199">
        <f t="shared" si="3"/>
        <v>0</v>
      </c>
      <c r="S111" s="200"/>
      <c r="T111" s="201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</row>
    <row r="112" ht="15.75" hidden="1" customHeight="1">
      <c r="A112" s="190"/>
      <c r="B112" s="190"/>
      <c r="C112" s="60" t="str">
        <f>IFERROR(__xludf.DUMMYFUNCTION("""COMPUTED_VALUE"""),"Reimburse ops yoga (23 okt 2025)")</f>
        <v>Reimburse ops yoga (23 okt 2025)</v>
      </c>
      <c r="D112" s="73"/>
      <c r="E112" s="221"/>
      <c r="F112" s="73"/>
      <c r="G112" s="73"/>
      <c r="H112" s="59"/>
      <c r="I112" s="24">
        <f>IFERROR(__xludf.DUMMYFUNCTION("""COMPUTED_VALUE"""),307500.0)</f>
        <v>307500</v>
      </c>
      <c r="J112" s="227"/>
      <c r="K112" s="228"/>
      <c r="L112" s="229">
        <f>IFERROR(__xludf.DUMMYFUNCTION("""COMPUTED_VALUE"""),307500.0)</f>
        <v>307500</v>
      </c>
      <c r="M112" s="224">
        <v>45953.0</v>
      </c>
      <c r="N112" s="205" t="s">
        <v>1138</v>
      </c>
      <c r="O112" s="196">
        <v>307500.0</v>
      </c>
      <c r="P112" s="215">
        <v>45953.0</v>
      </c>
      <c r="Q112" s="222"/>
      <c r="R112" s="199">
        <f t="shared" si="3"/>
        <v>0</v>
      </c>
      <c r="S112" s="200"/>
      <c r="T112" s="201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</row>
    <row r="113" ht="15.75" hidden="1" customHeight="1">
      <c r="A113" s="190"/>
      <c r="B113" s="190"/>
      <c r="C113" s="60" t="str">
        <f>IFERROR(__xludf.DUMMYFUNCTION("""COMPUTED_VALUE"""),"Cashback pkm gandoang3,pasir angin4,bojong2,bojong gede, karyamekar")</f>
        <v>Cashback pkm gandoang3,pasir angin4,bojong2,bojong gede, karyamekar</v>
      </c>
      <c r="D113" s="73"/>
      <c r="E113" s="221"/>
      <c r="F113" s="73"/>
      <c r="G113" s="73"/>
      <c r="H113" s="59"/>
      <c r="I113" s="24">
        <f>IFERROR(__xludf.DUMMYFUNCTION("""COMPUTED_VALUE"""),9831000.0)</f>
        <v>9831000</v>
      </c>
      <c r="J113" s="227"/>
      <c r="K113" s="228"/>
      <c r="L113" s="229">
        <f>IFERROR(__xludf.DUMMYFUNCTION("""COMPUTED_VALUE"""),9831000.0)</f>
        <v>9831000</v>
      </c>
      <c r="M113" s="224">
        <v>45953.0</v>
      </c>
      <c r="N113" s="205" t="s">
        <v>1138</v>
      </c>
      <c r="O113" s="196">
        <v>9831000.0</v>
      </c>
      <c r="P113" s="215">
        <v>45953.0</v>
      </c>
      <c r="Q113" s="222"/>
      <c r="R113" s="199">
        <f t="shared" si="3"/>
        <v>0</v>
      </c>
      <c r="S113" s="200"/>
      <c r="T113" s="201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</row>
    <row r="114" ht="15.75" hidden="1" customHeight="1">
      <c r="A114" s="190"/>
      <c r="B114" s="190"/>
      <c r="C114" s="60" t="str">
        <f>IFERROR(__xludf.DUMMYFUNCTION("""COMPUTED_VALUE"""),"wifi kantor sentul okt 25")</f>
        <v>wifi kantor sentul okt 25</v>
      </c>
      <c r="D114" s="73"/>
      <c r="E114" s="221"/>
      <c r="F114" s="73"/>
      <c r="G114" s="73"/>
      <c r="H114" s="59"/>
      <c r="I114" s="24">
        <f>IFERROR(__xludf.DUMMYFUNCTION("""COMPUTED_VALUE"""),558640.0)</f>
        <v>558640</v>
      </c>
      <c r="J114" s="227"/>
      <c r="K114" s="228"/>
      <c r="L114" s="229">
        <f>IFERROR(__xludf.DUMMYFUNCTION("""COMPUTED_VALUE"""),558640.0)</f>
        <v>558640</v>
      </c>
      <c r="M114" s="224">
        <v>45953.0</v>
      </c>
      <c r="N114" s="205" t="s">
        <v>1138</v>
      </c>
      <c r="O114" s="196">
        <v>558640.0</v>
      </c>
      <c r="P114" s="215">
        <v>45953.0</v>
      </c>
      <c r="Q114" s="222"/>
      <c r="R114" s="199">
        <f t="shared" si="3"/>
        <v>0</v>
      </c>
      <c r="S114" s="200"/>
      <c r="T114" s="201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</row>
    <row r="115" ht="15.75" hidden="1" customHeight="1">
      <c r="A115" s="190"/>
      <c r="B115" s="190"/>
      <c r="C115" s="60" t="str">
        <f>IFERROR(__xludf.DUMMYFUNCTION("""COMPUTED_VALUE"""),"kasbon pak adrian adek kayu")</f>
        <v>kasbon pak adrian adek kayu</v>
      </c>
      <c r="D115" s="73"/>
      <c r="E115" s="221"/>
      <c r="F115" s="73"/>
      <c r="G115" s="73"/>
      <c r="H115" s="59"/>
      <c r="I115" s="24">
        <f>IFERROR(__xludf.DUMMYFUNCTION("""COMPUTED_VALUE"""),5000000.0)</f>
        <v>5000000</v>
      </c>
      <c r="J115" s="227"/>
      <c r="K115" s="228"/>
      <c r="L115" s="229">
        <f>IFERROR(__xludf.DUMMYFUNCTION("""COMPUTED_VALUE"""),5000000.0)</f>
        <v>5000000</v>
      </c>
      <c r="M115" s="224">
        <v>45953.0</v>
      </c>
      <c r="N115" s="205" t="s">
        <v>1138</v>
      </c>
      <c r="O115" s="196">
        <v>5000000.0</v>
      </c>
      <c r="P115" s="215">
        <v>45953.0</v>
      </c>
      <c r="Q115" s="222"/>
      <c r="R115" s="199">
        <f t="shared" si="3"/>
        <v>0</v>
      </c>
      <c r="S115" s="200"/>
      <c r="T115" s="201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</row>
    <row r="116" ht="15.75" hidden="1" customHeight="1">
      <c r="A116" s="190"/>
      <c r="B116" s="190"/>
      <c r="C116" s="60" t="str">
        <f>IFERROR(__xludf.DUMMYFUNCTION("""COMPUTED_VALUE"""),"Pembayaran Eranya Cloud")</f>
        <v>Pembayaran Eranya Cloud</v>
      </c>
      <c r="D116" s="73"/>
      <c r="E116" s="221"/>
      <c r="F116" s="73"/>
      <c r="G116" s="73"/>
      <c r="H116" s="59"/>
      <c r="I116" s="24">
        <f>IFERROR(__xludf.DUMMYFUNCTION("""COMPUTED_VALUE"""),8754812.0)</f>
        <v>8754812</v>
      </c>
      <c r="J116" s="227">
        <f>IFERROR(__xludf.DUMMYFUNCTION("""COMPUTED_VALUE"""),963029.32)</f>
        <v>963029.32</v>
      </c>
      <c r="K116" s="227">
        <f>IFERROR(__xludf.DUMMYFUNCTION("""COMPUTED_VALUE"""),-175096.24)</f>
        <v>-175096.24</v>
      </c>
      <c r="L116" s="229">
        <f>IFERROR(__xludf.DUMMYFUNCTION("""COMPUTED_VALUE"""),9542745.08)</f>
        <v>9542745.08</v>
      </c>
      <c r="M116" s="224">
        <v>45953.0</v>
      </c>
      <c r="N116" s="205" t="s">
        <v>1138</v>
      </c>
      <c r="O116" s="196">
        <v>9542745.0</v>
      </c>
      <c r="P116" s="215">
        <v>45953.0</v>
      </c>
      <c r="Q116" s="222"/>
      <c r="R116" s="199">
        <f t="shared" si="3"/>
        <v>0.08000000007</v>
      </c>
      <c r="S116" s="200"/>
      <c r="T116" s="201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</row>
    <row r="117" ht="15.75" hidden="1" customHeight="1">
      <c r="A117" s="190"/>
      <c r="B117" s="190"/>
      <c r="C117" s="60" t="str">
        <f>IFERROR(__xludf.DUMMYFUNCTION("""COMPUTED_VALUE"""),"Entertain Pak romi dan client")</f>
        <v>Entertain Pak romi dan client</v>
      </c>
      <c r="D117" s="73"/>
      <c r="E117" s="221"/>
      <c r="F117" s="73"/>
      <c r="G117" s="73"/>
      <c r="H117" s="59"/>
      <c r="I117" s="24">
        <f>IFERROR(__xludf.DUMMYFUNCTION("""COMPUTED_VALUE"""),6061114.0)</f>
        <v>6061114</v>
      </c>
      <c r="J117" s="227"/>
      <c r="K117" s="228"/>
      <c r="L117" s="229">
        <f>IFERROR(__xludf.DUMMYFUNCTION("""COMPUTED_VALUE"""),6061114.0)</f>
        <v>6061114</v>
      </c>
      <c r="M117" s="224">
        <v>45953.0</v>
      </c>
      <c r="N117" s="205" t="s">
        <v>1138</v>
      </c>
      <c r="O117" s="196">
        <v>6061114.0</v>
      </c>
      <c r="P117" s="215">
        <v>45953.0</v>
      </c>
      <c r="Q117" s="222"/>
      <c r="R117" s="199">
        <f t="shared" si="3"/>
        <v>0</v>
      </c>
      <c r="S117" s="200"/>
      <c r="T117" s="201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</row>
    <row r="118" ht="15.75" hidden="1" customHeight="1">
      <c r="A118" s="190"/>
      <c r="B118" s="190"/>
      <c r="C118" s="60"/>
      <c r="D118" s="73"/>
      <c r="E118" s="221"/>
      <c r="F118" s="73"/>
      <c r="G118" s="73"/>
      <c r="H118" s="59"/>
      <c r="I118" s="24"/>
      <c r="J118" s="227"/>
      <c r="K118" s="228"/>
      <c r="L118" s="229"/>
      <c r="M118" s="228"/>
      <c r="N118" s="205" t="s">
        <v>1138</v>
      </c>
      <c r="O118" s="199"/>
      <c r="P118" s="217"/>
      <c r="Q118" s="222"/>
      <c r="R118" s="199">
        <f t="shared" si="3"/>
        <v>0</v>
      </c>
      <c r="S118" s="200"/>
      <c r="T118" s="201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</row>
    <row r="119" ht="15.75" hidden="1" customHeight="1">
      <c r="A119" s="190"/>
      <c r="B119" s="190"/>
      <c r="C119" s="60" t="str">
        <f>IFERROR(__xludf.DUMMYFUNCTION("""COMPUTED_VALUE"""),"Pembelian rinso 10 pack (pkm cileungsi)")</f>
        <v>Pembelian rinso 10 pack (pkm cileungsi)</v>
      </c>
      <c r="D119" s="73"/>
      <c r="E119" s="219" t="str">
        <f>IFERROR(__xludf.DUMMYFUNCTION("""COMPUTED_VALUE"""),"surat-pesanan-EP-01K7E2XN5Q0J6QA4FPP2GF0YT2 PKM CILEUNGSI (2).pdf")</f>
        <v>surat-pesanan-EP-01K7E2XN5Q0J6QA4FPP2GF0YT2 PKM CILEUNGSI (2).pdf</v>
      </c>
      <c r="F119" s="73"/>
      <c r="G119" s="73"/>
      <c r="H119" s="59"/>
      <c r="I119" s="24">
        <f>IFERROR(__xludf.DUMMYFUNCTION("""COMPUTED_VALUE"""),275500.0)</f>
        <v>275500</v>
      </c>
      <c r="J119" s="227"/>
      <c r="K119" s="228"/>
      <c r="L119" s="229">
        <f>IFERROR(__xludf.DUMMYFUNCTION("""COMPUTED_VALUE"""),275500.0)</f>
        <v>275500</v>
      </c>
      <c r="M119" s="224">
        <v>45954.0</v>
      </c>
      <c r="N119" s="205" t="s">
        <v>1138</v>
      </c>
      <c r="O119" s="196">
        <v>275500.0</v>
      </c>
      <c r="P119" s="215">
        <v>45954.0</v>
      </c>
      <c r="Q119" s="222"/>
      <c r="R119" s="199">
        <f t="shared" si="3"/>
        <v>0</v>
      </c>
      <c r="S119" s="200"/>
      <c r="T119" s="201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</row>
    <row r="120" ht="15.75" hidden="1" customHeight="1">
      <c r="A120" s="190"/>
      <c r="B120" s="190"/>
      <c r="C120" s="60" t="str">
        <f>IFERROR(__xludf.DUMMYFUNCTION("""COMPUTED_VALUE"""),"Pembelian tissue jolly 120 pack (pkm cileungsi)")</f>
        <v>Pembelian tissue jolly 120 pack (pkm cileungsi)</v>
      </c>
      <c r="D120" s="73"/>
      <c r="E120" s="219" t="str">
        <f>IFERROR(__xludf.DUMMYFUNCTION("""COMPUTED_VALUE"""),"surat-pesanan-EP-01K7E2XN5Q0J6QA4FPP2GF0YT2 PKM CILEUNGSI (2).pdf")</f>
        <v>surat-pesanan-EP-01K7E2XN5Q0J6QA4FPP2GF0YT2 PKM CILEUNGSI (2).pdf</v>
      </c>
      <c r="F120" s="73"/>
      <c r="G120" s="73"/>
      <c r="H120" s="59"/>
      <c r="I120" s="24">
        <f>IFERROR(__xludf.DUMMYFUNCTION("""COMPUTED_VALUE"""),846464.0)</f>
        <v>846464</v>
      </c>
      <c r="J120" s="227"/>
      <c r="K120" s="228"/>
      <c r="L120" s="229">
        <f>IFERROR(__xludf.DUMMYFUNCTION("""COMPUTED_VALUE"""),846464.0)</f>
        <v>846464</v>
      </c>
      <c r="M120" s="224">
        <v>45954.0</v>
      </c>
      <c r="N120" s="205" t="s">
        <v>1138</v>
      </c>
      <c r="O120" s="196">
        <v>846464.0</v>
      </c>
      <c r="P120" s="215">
        <v>45954.0</v>
      </c>
      <c r="Q120" s="222"/>
      <c r="R120" s="199">
        <f t="shared" si="3"/>
        <v>0</v>
      </c>
      <c r="S120" s="200"/>
      <c r="T120" s="201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</row>
    <row r="121" ht="15.75" hidden="1" customHeight="1">
      <c r="A121" s="190"/>
      <c r="B121" s="190"/>
      <c r="C121" s="60" t="str">
        <f>IFERROR(__xludf.DUMMYFUNCTION("""COMPUTED_VALUE"""),"Pembelian sapu dragon 4 (pkm cileungsi)")</f>
        <v>Pembelian sapu dragon 4 (pkm cileungsi)</v>
      </c>
      <c r="D121" s="73"/>
      <c r="E121" s="219" t="str">
        <f>IFERROR(__xludf.DUMMYFUNCTION("""COMPUTED_VALUE"""),"surat-pesanan-EP-01K7E2XN5Q0J6QA4FPP2GF0YT2 PKM CILEUNGSI (2).pdf")</f>
        <v>surat-pesanan-EP-01K7E2XN5Q0J6QA4FPP2GF0YT2 PKM CILEUNGSI (2).pdf</v>
      </c>
      <c r="F121" s="73"/>
      <c r="G121" s="73"/>
      <c r="H121" s="59"/>
      <c r="I121" s="24">
        <f>IFERROR(__xludf.DUMMYFUNCTION("""COMPUTED_VALUE"""),95988.0)</f>
        <v>95988</v>
      </c>
      <c r="J121" s="227"/>
      <c r="K121" s="228"/>
      <c r="L121" s="229">
        <f>IFERROR(__xludf.DUMMYFUNCTION("""COMPUTED_VALUE"""),95988.0)</f>
        <v>95988</v>
      </c>
      <c r="M121" s="224">
        <v>45954.0</v>
      </c>
      <c r="N121" s="205" t="s">
        <v>1138</v>
      </c>
      <c r="O121" s="196">
        <v>95988.0</v>
      </c>
      <c r="P121" s="215">
        <v>45954.0</v>
      </c>
      <c r="Q121" s="222"/>
      <c r="R121" s="199">
        <f t="shared" si="3"/>
        <v>0</v>
      </c>
      <c r="S121" s="200"/>
      <c r="T121" s="201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</row>
    <row r="122" ht="15.75" hidden="1" customHeight="1">
      <c r="A122" s="190"/>
      <c r="B122" s="190"/>
      <c r="C122" s="60" t="str">
        <f>IFERROR(__xludf.DUMMYFUNCTION("""COMPUTED_VALUE"""),"Pembelian sapu plafon 2 (pkm cileungsi)")</f>
        <v>Pembelian sapu plafon 2 (pkm cileungsi)</v>
      </c>
      <c r="D122" s="73"/>
      <c r="E122" s="219" t="str">
        <f>IFERROR(__xludf.DUMMYFUNCTION("""COMPUTED_VALUE"""),"surat-pesanan-EP-01K7E2XN5Q0J6QA4FPP2GF0YT2 PKM CILEUNGSI (2).pdf")</f>
        <v>surat-pesanan-EP-01K7E2XN5Q0J6QA4FPP2GF0YT2 PKM CILEUNGSI (2).pdf</v>
      </c>
      <c r="F122" s="73"/>
      <c r="G122" s="73"/>
      <c r="H122" s="59"/>
      <c r="I122" s="24">
        <f>IFERROR(__xludf.DUMMYFUNCTION("""COMPUTED_VALUE"""),41700.0)</f>
        <v>41700</v>
      </c>
      <c r="J122" s="227"/>
      <c r="K122" s="228"/>
      <c r="L122" s="229">
        <f>IFERROR(__xludf.DUMMYFUNCTION("""COMPUTED_VALUE"""),41700.0)</f>
        <v>41700</v>
      </c>
      <c r="M122" s="224">
        <v>45954.0</v>
      </c>
      <c r="N122" s="205" t="s">
        <v>1138</v>
      </c>
      <c r="O122" s="196">
        <v>41700.0</v>
      </c>
      <c r="P122" s="215">
        <v>45954.0</v>
      </c>
      <c r="Q122" s="222"/>
      <c r="R122" s="199">
        <f t="shared" si="3"/>
        <v>0</v>
      </c>
      <c r="S122" s="200"/>
      <c r="T122" s="201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</row>
    <row r="123" ht="15.75" hidden="1" customHeight="1">
      <c r="A123" s="190"/>
      <c r="B123" s="190"/>
      <c r="C123" s="60" t="str">
        <f>IFERROR(__xludf.DUMMYFUNCTION("""COMPUTED_VALUE"""),"Pembelian karbol 20 pacl (pkm cileungsi)")</f>
        <v>Pembelian karbol 20 pacl (pkm cileungsi)</v>
      </c>
      <c r="D123" s="73"/>
      <c r="E123" s="219" t="str">
        <f>IFERROR(__xludf.DUMMYFUNCTION("""COMPUTED_VALUE"""),"surat-pesanan-EP-01K7E2XN5Q0J6QA4FPP2GF0YT2 PKM CILEUNGSI (2).pdf")</f>
        <v>surat-pesanan-EP-01K7E2XN5Q0J6QA4FPP2GF0YT2 PKM CILEUNGSI (2).pdf</v>
      </c>
      <c r="F123" s="73"/>
      <c r="G123" s="73"/>
      <c r="H123" s="59"/>
      <c r="I123" s="24">
        <f>IFERROR(__xludf.DUMMYFUNCTION("""COMPUTED_VALUE"""),312000.0)</f>
        <v>312000</v>
      </c>
      <c r="J123" s="227"/>
      <c r="K123" s="228"/>
      <c r="L123" s="229">
        <f>IFERROR(__xludf.DUMMYFUNCTION("""COMPUTED_VALUE"""),312000.0)</f>
        <v>312000</v>
      </c>
      <c r="M123" s="224">
        <v>45954.0</v>
      </c>
      <c r="N123" s="205" t="s">
        <v>1138</v>
      </c>
      <c r="O123" s="196">
        <v>312000.0</v>
      </c>
      <c r="P123" s="215">
        <v>45954.0</v>
      </c>
      <c r="Q123" s="222"/>
      <c r="R123" s="199">
        <f t="shared" si="3"/>
        <v>0</v>
      </c>
      <c r="S123" s="200"/>
      <c r="T123" s="201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</row>
    <row r="124" ht="15.75" hidden="1" customHeight="1">
      <c r="A124" s="190"/>
      <c r="B124" s="190"/>
      <c r="C124" s="60" t="str">
        <f>IFERROR(__xludf.DUMMYFUNCTION("""COMPUTED_VALUE"""),"Pembelian alat pel mop 4 (pkm cileungsi)")</f>
        <v>Pembelian alat pel mop 4 (pkm cileungsi)</v>
      </c>
      <c r="D124" s="73"/>
      <c r="E124" s="219" t="str">
        <f>IFERROR(__xludf.DUMMYFUNCTION("""COMPUTED_VALUE"""),"surat-pesanan-EP-01K7E2XN5Q0J6QA4FPP2GF0YT2 PKM CILEUNGSI (2).pdf")</f>
        <v>surat-pesanan-EP-01K7E2XN5Q0J6QA4FPP2GF0YT2 PKM CILEUNGSI (2).pdf</v>
      </c>
      <c r="F124" s="73"/>
      <c r="G124" s="73"/>
      <c r="H124" s="59"/>
      <c r="I124" s="24">
        <f>IFERROR(__xludf.DUMMYFUNCTION("""COMPUTED_VALUE"""),325838.0)</f>
        <v>325838</v>
      </c>
      <c r="J124" s="227"/>
      <c r="K124" s="228"/>
      <c r="L124" s="229">
        <f>IFERROR(__xludf.DUMMYFUNCTION("""COMPUTED_VALUE"""),325838.0)</f>
        <v>325838</v>
      </c>
      <c r="M124" s="224">
        <v>45954.0</v>
      </c>
      <c r="N124" s="205" t="s">
        <v>1138</v>
      </c>
      <c r="O124" s="196">
        <v>325838.0</v>
      </c>
      <c r="P124" s="215">
        <v>45954.0</v>
      </c>
      <c r="Q124" s="222"/>
      <c r="R124" s="199">
        <f t="shared" si="3"/>
        <v>0</v>
      </c>
      <c r="S124" s="200"/>
      <c r="T124" s="201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</row>
    <row r="125" ht="15.75" hidden="1" customHeight="1">
      <c r="A125" s="190"/>
      <c r="B125" s="190"/>
      <c r="C125" s="60" t="str">
        <f>IFERROR(__xludf.DUMMYFUNCTION("""COMPUTED_VALUE"""),"Pembelian sabun cuci tangan 5 botol (pkm cileungsi)")</f>
        <v>Pembelian sabun cuci tangan 5 botol (pkm cileungsi)</v>
      </c>
      <c r="D125" s="73"/>
      <c r="E125" s="219" t="str">
        <f>IFERROR(__xludf.DUMMYFUNCTION("""COMPUTED_VALUE"""),"surat-pesanan-EP-01K7E2XN5Q0J6QA4FPP2GF0YT2 PKM CILEUNGSI (2).pdf")</f>
        <v>surat-pesanan-EP-01K7E2XN5Q0J6QA4FPP2GF0YT2 PKM CILEUNGSI (2).pdf</v>
      </c>
      <c r="F125" s="73"/>
      <c r="G125" s="73"/>
      <c r="H125" s="59"/>
      <c r="I125" s="24">
        <f>IFERROR(__xludf.DUMMYFUNCTION("""COMPUTED_VALUE"""),153200.0)</f>
        <v>153200</v>
      </c>
      <c r="J125" s="227"/>
      <c r="K125" s="228"/>
      <c r="L125" s="229">
        <f>IFERROR(__xludf.DUMMYFUNCTION("""COMPUTED_VALUE"""),153200.0)</f>
        <v>153200</v>
      </c>
      <c r="M125" s="224">
        <v>45954.0</v>
      </c>
      <c r="N125" s="205" t="s">
        <v>1138</v>
      </c>
      <c r="O125" s="196">
        <v>153200.0</v>
      </c>
      <c r="P125" s="215">
        <v>45954.0</v>
      </c>
      <c r="Q125" s="222"/>
      <c r="R125" s="199">
        <f t="shared" si="3"/>
        <v>0</v>
      </c>
      <c r="S125" s="200"/>
      <c r="T125" s="201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</row>
    <row r="126" ht="15.75" hidden="1" customHeight="1">
      <c r="A126" s="190"/>
      <c r="B126" s="190"/>
      <c r="C126" s="60" t="str">
        <f>IFERROR(__xludf.DUMMYFUNCTION("""COMPUTED_VALUE"""),"Pembelian sabun cuci piring 3 botol (pkm cileungsi)")</f>
        <v>Pembelian sabun cuci piring 3 botol (pkm cileungsi)</v>
      </c>
      <c r="D126" s="73"/>
      <c r="E126" s="219" t="str">
        <f>IFERROR(__xludf.DUMMYFUNCTION("""COMPUTED_VALUE"""),"surat-pesanan-EP-01K7E2XN5Q0J6QA4FPP2GF0YT2 PKM CILEUNGSI (2).pdf")</f>
        <v>surat-pesanan-EP-01K7E2XN5Q0J6QA4FPP2GF0YT2 PKM CILEUNGSI (2).pdf</v>
      </c>
      <c r="F126" s="73"/>
      <c r="G126" s="73"/>
      <c r="H126" s="59"/>
      <c r="I126" s="24">
        <f>IFERROR(__xludf.DUMMYFUNCTION("""COMPUTED_VALUE"""),134525.0)</f>
        <v>134525</v>
      </c>
      <c r="J126" s="227"/>
      <c r="K126" s="228"/>
      <c r="L126" s="229">
        <f>IFERROR(__xludf.DUMMYFUNCTION("""COMPUTED_VALUE"""),134525.0)</f>
        <v>134525</v>
      </c>
      <c r="M126" s="224">
        <v>45954.0</v>
      </c>
      <c r="N126" s="205" t="s">
        <v>1138</v>
      </c>
      <c r="O126" s="196">
        <v>134525.0</v>
      </c>
      <c r="P126" s="215">
        <v>45954.0</v>
      </c>
      <c r="Q126" s="222"/>
      <c r="R126" s="199">
        <f t="shared" si="3"/>
        <v>0</v>
      </c>
      <c r="S126" s="200"/>
      <c r="T126" s="201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</row>
    <row r="127" ht="15.75" hidden="1" customHeight="1">
      <c r="A127" s="190"/>
      <c r="B127" s="190" t="str">
        <f>IFERROR(__xludf.DUMMYFUNCTION("""COMPUTED_VALUE"""),"PT. Klipindo")</f>
        <v>PT. Klipindo</v>
      </c>
      <c r="C127" s="60" t="str">
        <f>IFERROR(__xludf.DUMMYFUNCTION("""COMPUTED_VALUE"""),"Pembelian Plastik Klip (pesanan rsud ciawi)")</f>
        <v>Pembelian Plastik Klip (pesanan rsud ciawi)</v>
      </c>
      <c r="D127" s="73"/>
      <c r="E127" s="219" t="str">
        <f>IFERROR(__xludf.DUMMYFUNCTION("""COMPUTED_VALUE"""),"SPK Plastik Obat RSUD Ciawi.pdf")</f>
        <v>SPK Plastik Obat RSUD Ciawi.pdf</v>
      </c>
      <c r="F127" s="220" t="str">
        <f>IFERROR(__xludf.DUMMYFUNCTION("""COMPUTED_VALUE"""),"MPG-211025021 - PT. Klipindo Plastik (7x10).pdf")</f>
        <v>MPG-211025021 - PT. Klipindo Plastik (7x10).pdf</v>
      </c>
      <c r="G127" s="73"/>
      <c r="H127" s="59"/>
      <c r="I127" s="24">
        <f>IFERROR(__xludf.DUMMYFUNCTION("""COMPUTED_VALUE"""),7981420.0)</f>
        <v>7981420</v>
      </c>
      <c r="J127" s="227"/>
      <c r="K127" s="228"/>
      <c r="L127" s="229">
        <f>IFERROR(__xludf.DUMMYFUNCTION("""COMPUTED_VALUE"""),7981420.0)</f>
        <v>7981420</v>
      </c>
      <c r="M127" s="224">
        <v>45958.0</v>
      </c>
      <c r="N127" s="205" t="s">
        <v>1138</v>
      </c>
      <c r="O127" s="196">
        <v>7981420.0</v>
      </c>
      <c r="P127" s="215">
        <v>45958.0</v>
      </c>
      <c r="Q127" s="222"/>
      <c r="R127" s="199">
        <f t="shared" si="3"/>
        <v>0</v>
      </c>
      <c r="S127" s="200"/>
      <c r="T127" s="201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</row>
    <row r="128" ht="15.75" hidden="1" customHeight="1">
      <c r="A128" s="190"/>
      <c r="B128" s="190" t="str">
        <f>IFERROR(__xludf.DUMMYFUNCTION("""COMPUTED_VALUE"""),"PT. Klipindo")</f>
        <v>PT. Klipindo</v>
      </c>
      <c r="C128" s="60" t="str">
        <f>IFERROR(__xludf.DUMMYFUNCTION("""COMPUTED_VALUE"""),"Pembelian Plastik Klip (pesanan pkm jagakarsa)")</f>
        <v>Pembelian Plastik Klip (pesanan pkm jagakarsa)</v>
      </c>
      <c r="D128" s="73"/>
      <c r="E128" s="219" t="str">
        <f>IFERROR(__xludf.DUMMYFUNCTION("""COMPUTED_VALUE"""),"surat-pesanan-EP-01K88294HVAWHWZJHHEJQJR81J PKM Jagakarsa.pdf")</f>
        <v>surat-pesanan-EP-01K88294HVAWHWZJHHEJQJR81J PKM Jagakarsa.pdf</v>
      </c>
      <c r="F128" s="220" t="str">
        <f>IFERROR(__xludf.DUMMYFUNCTION("""COMPUTED_VALUE"""),"MPG-271025031 - PT KLIPINDO PLASTIK PRATAMA.pdf")</f>
        <v>MPG-271025031 - PT KLIPINDO PLASTIK PRATAMA.pdf</v>
      </c>
      <c r="G128" s="73"/>
      <c r="H128" s="59" t="str">
        <f>IFERROR(__xludf.DUMMYFUNCTION("""COMPUTED_VALUE"""),"20-Nov-25")</f>
        <v>20-Nov-25</v>
      </c>
      <c r="I128" s="24">
        <f>IFERROR(__xludf.DUMMYFUNCTION("""COMPUTED_VALUE"""),7399049.0)</f>
        <v>7399049</v>
      </c>
      <c r="J128" s="227"/>
      <c r="K128" s="228"/>
      <c r="L128" s="229">
        <f>IFERROR(__xludf.DUMMYFUNCTION("""COMPUTED_VALUE"""),7399049.0)</f>
        <v>7399049</v>
      </c>
      <c r="M128" s="224">
        <v>45981.0</v>
      </c>
      <c r="N128" s="205" t="s">
        <v>1138</v>
      </c>
      <c r="O128" s="199">
        <f>L128</f>
        <v>7399049</v>
      </c>
      <c r="P128" s="215">
        <v>45981.0</v>
      </c>
      <c r="Q128" s="222"/>
      <c r="R128" s="199">
        <f t="shared" si="3"/>
        <v>0</v>
      </c>
      <c r="S128" s="200"/>
      <c r="T128" s="201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</row>
    <row r="129" ht="15.75" hidden="1" customHeight="1">
      <c r="A129" s="190"/>
      <c r="B129" s="190"/>
      <c r="C129" s="60" t="str">
        <f>IFERROR(__xludf.DUMMYFUNCTION("""COMPUTED_VALUE"""),"Reimburse Ops Ali")</f>
        <v>Reimburse Ops Ali</v>
      </c>
      <c r="D129" s="73"/>
      <c r="E129" s="221"/>
      <c r="F129" s="73"/>
      <c r="G129" s="73"/>
      <c r="H129" s="59"/>
      <c r="I129" s="24">
        <f>IFERROR(__xludf.DUMMYFUNCTION("""COMPUTED_VALUE"""),2144500.0)</f>
        <v>2144500</v>
      </c>
      <c r="J129" s="227"/>
      <c r="K129" s="228"/>
      <c r="L129" s="229">
        <f>IFERROR(__xludf.DUMMYFUNCTION("""COMPUTED_VALUE"""),2144500.0)</f>
        <v>2144500</v>
      </c>
      <c r="M129" s="224">
        <v>45958.0</v>
      </c>
      <c r="N129" s="205" t="s">
        <v>1138</v>
      </c>
      <c r="O129" s="196">
        <v>2144500.0</v>
      </c>
      <c r="P129" s="215">
        <v>45958.0</v>
      </c>
      <c r="Q129" s="222"/>
      <c r="R129" s="199">
        <f t="shared" si="3"/>
        <v>0</v>
      </c>
      <c r="S129" s="200"/>
      <c r="T129" s="201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</row>
    <row r="130" ht="15.75" hidden="1" customHeight="1">
      <c r="A130" s="190"/>
      <c r="B130" s="190"/>
      <c r="C130" s="60" t="str">
        <f>IFERROR(__xludf.DUMMYFUNCTION("""COMPUTED_VALUE"""),"Reimbuse Ops Kibo")</f>
        <v>Reimbuse Ops Kibo</v>
      </c>
      <c r="D130" s="73"/>
      <c r="E130" s="221"/>
      <c r="F130" s="73"/>
      <c r="G130" s="73"/>
      <c r="H130" s="59"/>
      <c r="I130" s="24">
        <f>IFERROR(__xludf.DUMMYFUNCTION("""COMPUTED_VALUE"""),489000.0)</f>
        <v>489000</v>
      </c>
      <c r="J130" s="227"/>
      <c r="K130" s="228"/>
      <c r="L130" s="229">
        <f>IFERROR(__xludf.DUMMYFUNCTION("""COMPUTED_VALUE"""),489000.0)</f>
        <v>489000</v>
      </c>
      <c r="M130" s="224">
        <v>45958.0</v>
      </c>
      <c r="N130" s="205" t="s">
        <v>1138</v>
      </c>
      <c r="O130" s="196">
        <v>489000.0</v>
      </c>
      <c r="P130" s="215">
        <v>45958.0</v>
      </c>
      <c r="Q130" s="222"/>
      <c r="R130" s="199">
        <f t="shared" si="3"/>
        <v>0</v>
      </c>
      <c r="S130" s="200"/>
      <c r="T130" s="201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</row>
    <row r="131" ht="15.75" hidden="1" customHeight="1">
      <c r="A131" s="190"/>
      <c r="B131" s="190"/>
      <c r="C131" s="60" t="str">
        <f>IFERROR(__xludf.DUMMYFUNCTION("""COMPUTED_VALUE"""),"Top Up Petty Cash")</f>
        <v>Top Up Petty Cash</v>
      </c>
      <c r="D131" s="73"/>
      <c r="E131" s="221"/>
      <c r="F131" s="73"/>
      <c r="G131" s="73"/>
      <c r="H131" s="59"/>
      <c r="I131" s="24">
        <f>IFERROR(__xludf.DUMMYFUNCTION("""COMPUTED_VALUE"""),5000000.0)</f>
        <v>5000000</v>
      </c>
      <c r="J131" s="227"/>
      <c r="K131" s="228"/>
      <c r="L131" s="229">
        <f>IFERROR(__xludf.DUMMYFUNCTION("""COMPUTED_VALUE"""),5000000.0)</f>
        <v>5000000</v>
      </c>
      <c r="M131" s="224">
        <v>45958.0</v>
      </c>
      <c r="N131" s="205" t="s">
        <v>1138</v>
      </c>
      <c r="O131" s="196">
        <v>5000000.0</v>
      </c>
      <c r="P131" s="215">
        <v>45958.0</v>
      </c>
      <c r="Q131" s="222"/>
      <c r="R131" s="199">
        <f t="shared" si="3"/>
        <v>0</v>
      </c>
      <c r="S131" s="200"/>
      <c r="T131" s="201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</row>
    <row r="132" ht="15.75" hidden="1" customHeight="1">
      <c r="A132" s="190"/>
      <c r="B132" s="190" t="str">
        <f>IFERROR(__xludf.DUMMYFUNCTION("""COMPUTED_VALUE"""),"PT. WHIRA PITHOE")</f>
        <v>PT. WHIRA PITHOE</v>
      </c>
      <c r="C132" s="60" t="str">
        <f>IFERROR(__xludf.DUMMYFUNCTION("""COMPUTED_VALUE"""),"Pembelian Biomaxima (pesanan dinkes tasik)")</f>
        <v>Pembelian Biomaxima (pesanan dinkes tasik)</v>
      </c>
      <c r="D132" s="73"/>
      <c r="E132" s="219" t="str">
        <f>IFERROR(__xludf.DUMMYFUNCTION("""COMPUTED_VALUE"""),"sp dinkes tasik (po 5).pdf")</f>
        <v>sp dinkes tasik (po 5).pdf</v>
      </c>
      <c r="F132" s="220" t="str">
        <f>IFERROR(__xludf.DUMMYFUNCTION("""COMPUTED_VALUE"""),"MPG-291025033 - PT. WHIRA PITHOE.pdf")</f>
        <v>MPG-291025033 - PT. WHIRA PITHOE.pdf</v>
      </c>
      <c r="G132" s="73"/>
      <c r="H132" s="59"/>
      <c r="I132" s="24">
        <f>IFERROR(__xludf.DUMMYFUNCTION("""COMPUTED_VALUE"""),2370960.0)</f>
        <v>2370960</v>
      </c>
      <c r="J132" s="227"/>
      <c r="K132" s="228"/>
      <c r="L132" s="229">
        <f>IFERROR(__xludf.DUMMYFUNCTION("""COMPUTED_VALUE"""),2370960.0)</f>
        <v>2370960</v>
      </c>
      <c r="M132" s="224">
        <v>45959.0</v>
      </c>
      <c r="N132" s="205" t="s">
        <v>1138</v>
      </c>
      <c r="O132" s="199">
        <f>L132</f>
        <v>2370960</v>
      </c>
      <c r="P132" s="215">
        <v>45959.0</v>
      </c>
      <c r="Q132" s="222"/>
      <c r="R132" s="199">
        <f t="shared" si="3"/>
        <v>0</v>
      </c>
      <c r="S132" s="200"/>
      <c r="T132" s="201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</row>
    <row r="133" ht="15.75" hidden="1" customHeight="1">
      <c r="A133" s="190"/>
      <c r="B133" s="190" t="str">
        <f>IFERROR(__xludf.DUMMYFUNCTION("""COMPUTED_VALUE"""),"PT. SANGIANG KARYA MANDIRI")</f>
        <v>PT. SANGIANG KARYA MANDIRI</v>
      </c>
      <c r="C133" s="60" t="str">
        <f>IFERROR(__xludf.DUMMYFUNCTION("""COMPUTED_VALUE"""),"Pembelian Drug Test (pesanan dinkes tasik)")</f>
        <v>Pembelian Drug Test (pesanan dinkes tasik)</v>
      </c>
      <c r="D133" s="73"/>
      <c r="E133" s="219" t="str">
        <f>IFERROR(__xludf.DUMMYFUNCTION("""COMPUTED_VALUE"""),"sp dinkes tasik (po 5).pdf")</f>
        <v>sp dinkes tasik (po 5).pdf</v>
      </c>
      <c r="F133" s="220" t="str">
        <f>IFERROR(__xludf.DUMMYFUNCTION("""COMPUTED_VALUE"""),"MPG-291025034 - PT. SANGIANG KARYA MANDIRI.pdf")</f>
        <v>MPG-291025034 - PT. SANGIANG KARYA MANDIRI.pdf</v>
      </c>
      <c r="G133" s="73"/>
      <c r="H133" s="59"/>
      <c r="I133" s="24">
        <f>IFERROR(__xludf.DUMMYFUNCTION("""COMPUTED_VALUE"""),3500000.0)</f>
        <v>3500000</v>
      </c>
      <c r="J133" s="227">
        <f>IFERROR(__xludf.DUMMYFUNCTION("""COMPUTED_VALUE"""),385000.0)</f>
        <v>385000</v>
      </c>
      <c r="K133" s="228"/>
      <c r="L133" s="229">
        <f>IFERROR(__xludf.DUMMYFUNCTION("""COMPUTED_VALUE"""),3885000.0)</f>
        <v>3885000</v>
      </c>
      <c r="M133" s="248">
        <v>45959.0</v>
      </c>
      <c r="N133" s="205" t="s">
        <v>1138</v>
      </c>
      <c r="O133" s="196">
        <v>3885000.0</v>
      </c>
      <c r="P133" s="246">
        <v>45959.0</v>
      </c>
      <c r="Q133" s="222"/>
      <c r="R133" s="199">
        <f t="shared" si="3"/>
        <v>0</v>
      </c>
      <c r="S133" s="200"/>
      <c r="T133" s="201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</row>
    <row r="134" ht="15.75" hidden="1" customHeight="1">
      <c r="A134" s="190"/>
      <c r="B134" s="190" t="str">
        <f>IFERROR(__xludf.DUMMYFUNCTION("""COMPUTED_VALUE"""),"PT. BSM")</f>
        <v>PT. BSM</v>
      </c>
      <c r="C134" s="60" t="str">
        <f>IFERROR(__xludf.DUMMYFUNCTION("""COMPUTED_VALUE"""),"Pembelian stik kolestrol asam urat (pesanan pkm bojong)")</f>
        <v>Pembelian stik kolestrol asam urat (pesanan pkm bojong)</v>
      </c>
      <c r="D134" s="73"/>
      <c r="E134" s="219" t="str">
        <f>IFERROR(__xludf.DUMMYFUNCTION("""COMPUTED_VALUE"""),"Surat Pesanan PT MATA PENSIL tuk 2026 (1).pdf")</f>
        <v>Surat Pesanan PT MATA PENSIL tuk 2026 (1).pdf</v>
      </c>
      <c r="F134" s="220" t="str">
        <f>IFERROR(__xludf.DUMMYFUNCTION("""COMPUTED_VALUE"""),"MPG-291025035 - PT. BSM .pdf")</f>
        <v>MPG-291025035 - PT. BSM .pdf</v>
      </c>
      <c r="G134" s="73"/>
      <c r="H134" s="59"/>
      <c r="I134" s="24">
        <f>IFERROR(__xludf.DUMMYFUNCTION("""COMPUTED_VALUE"""),1.96568E7)</f>
        <v>19656800</v>
      </c>
      <c r="J134" s="227">
        <f>IFERROR(__xludf.DUMMYFUNCTION("""COMPUTED_VALUE"""),2162248.0)</f>
        <v>2162248</v>
      </c>
      <c r="K134" s="228"/>
      <c r="L134" s="229">
        <f>IFERROR(__xludf.DUMMYFUNCTION("""COMPUTED_VALUE"""),2.1819048E7)</f>
        <v>21819048</v>
      </c>
      <c r="M134" s="248">
        <v>45959.0</v>
      </c>
      <c r="N134" s="205" t="s">
        <v>1138</v>
      </c>
      <c r="O134" s="196">
        <v>2.1819048E7</v>
      </c>
      <c r="P134" s="246">
        <v>45959.0</v>
      </c>
      <c r="Q134" s="222"/>
      <c r="R134" s="199">
        <f t="shared" si="3"/>
        <v>0</v>
      </c>
      <c r="S134" s="200"/>
      <c r="T134" s="201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</row>
    <row r="135" ht="15.75" hidden="1" customHeight="1">
      <c r="A135" s="190"/>
      <c r="B135" s="190" t="str">
        <f>IFERROR(__xludf.DUMMYFUNCTION("""COMPUTED_VALUE"""),"PT. Biosensor")</f>
        <v>PT. Biosensor</v>
      </c>
      <c r="C135" s="60" t="str">
        <f>IFERROR(__xludf.DUMMYFUNCTION("""COMPUTED_VALUE"""),"Pembelian codfree (pesanan pkm bojong)")</f>
        <v>Pembelian codfree (pesanan pkm bojong)</v>
      </c>
      <c r="D135" s="73"/>
      <c r="E135" s="219" t="str">
        <f>IFERROR(__xludf.DUMMYFUNCTION("""COMPUTED_VALUE"""),"Surat Pesanan PT MATA PENSIL tuk 2026 (1).pdf")</f>
        <v>Surat Pesanan PT MATA PENSIL tuk 2026 (1).pdf</v>
      </c>
      <c r="F135" s="220" t="str">
        <f>IFERROR(__xludf.DUMMYFUNCTION("""COMPUTED_VALUE"""),"MPG-291025036 - PT. BIOSENSOR (CODFREE 65 BOX).pdf")</f>
        <v>MPG-291025036 - PT. BIOSENSOR (CODFREE 65 BOX).pdf</v>
      </c>
      <c r="G135" s="73"/>
      <c r="H135" s="59"/>
      <c r="I135" s="24">
        <f>IFERROR(__xludf.DUMMYFUNCTION("""COMPUTED_VALUE"""),1.96568E7)</f>
        <v>19656800</v>
      </c>
      <c r="J135" s="227">
        <f>IFERROR(__xludf.DUMMYFUNCTION("""COMPUTED_VALUE"""),958164.0)</f>
        <v>958164</v>
      </c>
      <c r="K135" s="228"/>
      <c r="L135" s="229">
        <f>IFERROR(__xludf.DUMMYFUNCTION("""COMPUTED_VALUE"""),2.0614964E7)</f>
        <v>20614964</v>
      </c>
      <c r="M135" s="248">
        <v>45959.0</v>
      </c>
      <c r="N135" s="205" t="s">
        <v>1138</v>
      </c>
      <c r="O135" s="196">
        <v>9668751.0</v>
      </c>
      <c r="P135" s="246">
        <v>45959.0</v>
      </c>
      <c r="Q135" s="250">
        <v>2500.0</v>
      </c>
      <c r="R135" s="199">
        <f t="shared" si="3"/>
        <v>10946213</v>
      </c>
      <c r="S135" s="200"/>
      <c r="T135" s="201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</row>
    <row r="136" ht="15.75" hidden="1" customHeight="1">
      <c r="A136" s="190"/>
      <c r="B136" s="190"/>
      <c r="C136" s="60" t="str">
        <f>IFERROR(__xludf.DUMMYFUNCTION("""COMPUTED_VALUE"""),"Pembelian 500 box kasa (pesanan pkm tj. priok)")</f>
        <v>Pembelian 500 box kasa (pesanan pkm tj. priok)</v>
      </c>
      <c r="D136" s="73"/>
      <c r="E136" s="219" t="str">
        <f>IFERROR(__xludf.DUMMYFUNCTION("""COMPUTED_VALUE"""),"surat-pesanan-EP-01K87V4JVA710QSHBSRFDDCJ5H PKM TANJUNG PRIOK.pdf")</f>
        <v>surat-pesanan-EP-01K87V4JVA710QSHBSRFDDCJ5H PKM TANJUNG PRIOK.pdf</v>
      </c>
      <c r="F136" s="73"/>
      <c r="G136" s="73"/>
      <c r="H136" s="59"/>
      <c r="I136" s="24">
        <f>IFERROR(__xludf.DUMMYFUNCTION("""COMPUTED_VALUE"""),1542000.0)</f>
        <v>1542000</v>
      </c>
      <c r="J136" s="227"/>
      <c r="K136" s="228"/>
      <c r="L136" s="229">
        <f>IFERROR(__xludf.DUMMYFUNCTION("""COMPUTED_VALUE"""),1542000.0)</f>
        <v>1542000</v>
      </c>
      <c r="M136" s="251">
        <v>45960.0</v>
      </c>
      <c r="N136" s="205" t="s">
        <v>1138</v>
      </c>
      <c r="O136" s="196">
        <v>1542000.0</v>
      </c>
      <c r="P136" s="252">
        <v>45960.0</v>
      </c>
      <c r="Q136" s="222"/>
      <c r="R136" s="199">
        <f t="shared" si="3"/>
        <v>0</v>
      </c>
      <c r="S136" s="200"/>
      <c r="T136" s="201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</row>
    <row r="137" ht="15.75" hidden="1" customHeight="1">
      <c r="A137" s="190"/>
      <c r="B137" s="190" t="str">
        <f>IFERROR(__xludf.DUMMYFUNCTION("""COMPUTED_VALUE"""),"PT. BSM")</f>
        <v>PT. BSM</v>
      </c>
      <c r="C137" s="60" t="str">
        <f>IFERROR(__xludf.DUMMYFUNCTION("""COMPUTED_VALUE"""),"Pembelian deckglass dan kartu goldar (Dinkes Tasik)")</f>
        <v>Pembelian deckglass dan kartu goldar (Dinkes Tasik)</v>
      </c>
      <c r="D137" s="73"/>
      <c r="E137" s="219" t="str">
        <f>IFERROR(__xludf.DUMMYFUNCTION("""COMPUTED_VALUE"""),"SP Dinkes Tasik PO 6.PDF")</f>
        <v>SP Dinkes Tasik PO 6.PDF</v>
      </c>
      <c r="F137" s="220" t="str">
        <f>IFERROR(__xludf.DUMMYFUNCTION("""COMPUTED_VALUE"""),"MPG-301025039 - PT. BSM (Deckglass 20x20 dan Kartu Goldar).pdf")</f>
        <v>MPG-301025039 - PT. BSM (Deckglass 20x20 dan Kartu Goldar).pdf</v>
      </c>
      <c r="G137" s="73"/>
      <c r="H137" s="59"/>
      <c r="I137" s="24">
        <f>IFERROR(__xludf.DUMMYFUNCTION("""COMPUTED_VALUE"""),799551.0)</f>
        <v>799551</v>
      </c>
      <c r="J137" s="227">
        <f>IFERROR(__xludf.DUMMYFUNCTION("""COMPUTED_VALUE"""),87951.0)</f>
        <v>87951</v>
      </c>
      <c r="K137" s="228"/>
      <c r="L137" s="229">
        <f>IFERROR(__xludf.DUMMYFUNCTION("""COMPUTED_VALUE"""),887502.0)</f>
        <v>887502</v>
      </c>
      <c r="M137" s="251">
        <v>45960.0</v>
      </c>
      <c r="N137" s="205" t="s">
        <v>1138</v>
      </c>
      <c r="O137" s="196">
        <v>887502.0</v>
      </c>
      <c r="P137" s="253">
        <v>45960.0</v>
      </c>
      <c r="Q137" s="250">
        <v>2500.0</v>
      </c>
      <c r="R137" s="199">
        <f t="shared" si="3"/>
        <v>0</v>
      </c>
      <c r="S137" s="200"/>
      <c r="T137" s="201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</row>
    <row r="138" ht="15.75" hidden="1" customHeight="1">
      <c r="A138" s="190"/>
      <c r="B138" s="190" t="str">
        <f>IFERROR(__xludf.DUMMYFUNCTION("""COMPUTED_VALUE"""),"PT. SGM")</f>
        <v>PT. SGM</v>
      </c>
      <c r="C138" s="60" t="str">
        <f>IFERROR(__xludf.DUMMYFUNCTION("""COMPUTED_VALUE"""),"Pembelian reagen goldar (dinkes tasik)")</f>
        <v>Pembelian reagen goldar (dinkes tasik)</v>
      </c>
      <c r="D138" s="73"/>
      <c r="E138" s="219" t="str">
        <f>IFERROR(__xludf.DUMMYFUNCTION("""COMPUTED_VALUE"""),"SP Dinkes Tasik PO 6.PDF")</f>
        <v>SP Dinkes Tasik PO 6.PDF</v>
      </c>
      <c r="F138" s="220" t="str">
        <f>IFERROR(__xludf.DUMMYFUNCTION("""COMPUTED_VALUE"""),"MPG-301025037 - PT. SGM (REAGEN GOLDAR).pdf")</f>
        <v>MPG-301025037 - PT. SGM (REAGEN GOLDAR).pdf</v>
      </c>
      <c r="G138" s="73"/>
      <c r="H138" s="59"/>
      <c r="I138" s="24">
        <f>IFERROR(__xludf.DUMMYFUNCTION("""COMPUTED_VALUE"""),326000.0)</f>
        <v>326000</v>
      </c>
      <c r="J138" s="227">
        <f>IFERROR(__xludf.DUMMYFUNCTION("""COMPUTED_VALUE"""),35860.0)</f>
        <v>35860</v>
      </c>
      <c r="K138" s="228"/>
      <c r="L138" s="229">
        <f>IFERROR(__xludf.DUMMYFUNCTION("""COMPUTED_VALUE"""),361860.0)</f>
        <v>361860</v>
      </c>
      <c r="M138" s="251">
        <v>45960.0</v>
      </c>
      <c r="N138" s="205" t="s">
        <v>1138</v>
      </c>
      <c r="O138" s="196">
        <v>361860.0</v>
      </c>
      <c r="P138" s="252">
        <v>45960.0</v>
      </c>
      <c r="Q138" s="250">
        <v>2500.0</v>
      </c>
      <c r="R138" s="199">
        <f t="shared" si="3"/>
        <v>0</v>
      </c>
      <c r="S138" s="200"/>
      <c r="T138" s="201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</row>
    <row r="139" ht="15.75" hidden="1" customHeight="1">
      <c r="A139" s="190"/>
      <c r="B139" s="190" t="str">
        <f>IFERROR(__xludf.DUMMYFUNCTION("""COMPUTED_VALUE"""),"PT. SGM")</f>
        <v>PT. SGM</v>
      </c>
      <c r="C139" s="60" t="str">
        <f>IFERROR(__xludf.DUMMYFUNCTION("""COMPUTED_VALUE"""),"Pembelian widal set (pkm cijujung)")</f>
        <v>Pembelian widal set (pkm cijujung)</v>
      </c>
      <c r="D139" s="73"/>
      <c r="E139" s="219" t="str">
        <f>IFERROR(__xludf.DUMMYFUNCTION("""COMPUTED_VALUE"""),"surat-pesanan-EP-01K4YMFJH70YGA4K2NT8YQWFGR PKM CIJUJUNG.pdf")</f>
        <v>surat-pesanan-EP-01K4YMFJH70YGA4K2NT8YQWFGR PKM CIJUJUNG.pdf</v>
      </c>
      <c r="F139" s="220" t="str">
        <f>IFERROR(__xludf.DUMMYFUNCTION("""COMPUTED_VALUE"""),"MPG-301025038 - PT. SGM (widal).pdf")</f>
        <v>MPG-301025038 - PT. SGM (widal).pdf</v>
      </c>
      <c r="G139" s="73"/>
      <c r="H139" s="59"/>
      <c r="I139" s="24">
        <f>IFERROR(__xludf.DUMMYFUNCTION("""COMPUTED_VALUE"""),745600.0)</f>
        <v>745600</v>
      </c>
      <c r="J139" s="227">
        <f>IFERROR(__xludf.DUMMYFUNCTION("""COMPUTED_VALUE"""),82016.0)</f>
        <v>82016</v>
      </c>
      <c r="K139" s="228"/>
      <c r="L139" s="229">
        <f>IFERROR(__xludf.DUMMYFUNCTION("""COMPUTED_VALUE"""),827616.0)</f>
        <v>827616</v>
      </c>
      <c r="M139" s="251">
        <v>45960.0</v>
      </c>
      <c r="N139" s="205" t="s">
        <v>1138</v>
      </c>
      <c r="O139" s="196">
        <v>827616.0</v>
      </c>
      <c r="P139" s="253">
        <v>45960.0</v>
      </c>
      <c r="Q139" s="250">
        <v>2500.0</v>
      </c>
      <c r="R139" s="199">
        <f t="shared" si="3"/>
        <v>0</v>
      </c>
      <c r="S139" s="200"/>
      <c r="T139" s="201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</row>
    <row r="140" ht="15.75" hidden="1" customHeight="1">
      <c r="A140" s="190"/>
      <c r="B140" s="190"/>
      <c r="C140" s="60" t="str">
        <f>IFERROR(__xludf.DUMMYFUNCTION("""COMPUTED_VALUE"""),"Pembelian pasta devitalisasi (pkm kemuning)")</f>
        <v>Pembelian pasta devitalisasi (pkm kemuning)</v>
      </c>
      <c r="D140" s="73"/>
      <c r="E140" s="219" t="str">
        <f>IFERROR(__xludf.DUMMYFUNCTION("""COMPUTED_VALUE"""),"surat-pesanan-EP-01K8CDN1VM6E7AX4VMP1FQMR5B KEMUNING.pdf")</f>
        <v>surat-pesanan-EP-01K8CDN1VM6E7AX4VMP1FQMR5B KEMUNING.pdf</v>
      </c>
      <c r="F140" s="73"/>
      <c r="G140" s="73"/>
      <c r="H140" s="59"/>
      <c r="I140" s="24">
        <f>IFERROR(__xludf.DUMMYFUNCTION("""COMPUTED_VALUE"""),397600.0)</f>
        <v>397600</v>
      </c>
      <c r="J140" s="227"/>
      <c r="K140" s="228"/>
      <c r="L140" s="229">
        <f>IFERROR(__xludf.DUMMYFUNCTION("""COMPUTED_VALUE"""),397600.0)</f>
        <v>397600</v>
      </c>
      <c r="M140" s="251">
        <v>45960.0</v>
      </c>
      <c r="N140" s="205" t="s">
        <v>1138</v>
      </c>
      <c r="O140" s="199">
        <f t="shared" ref="O140:O176" si="8">L140</f>
        <v>397600</v>
      </c>
      <c r="P140" s="253">
        <v>45960.0</v>
      </c>
      <c r="Q140" s="222"/>
      <c r="R140" s="199">
        <f t="shared" si="3"/>
        <v>0</v>
      </c>
      <c r="S140" s="200"/>
      <c r="T140" s="201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</row>
    <row r="141" ht="15.75" hidden="1" customHeight="1">
      <c r="A141" s="190"/>
      <c r="B141" s="190"/>
      <c r="C141" s="60" t="str">
        <f>IFERROR(__xludf.DUMMYFUNCTION("""COMPUTED_VALUE"""),"Pembelian endoseal (pkm kemuning)")</f>
        <v>Pembelian endoseal (pkm kemuning)</v>
      </c>
      <c r="D141" s="73"/>
      <c r="E141" s="219" t="str">
        <f>IFERROR(__xludf.DUMMYFUNCTION("""COMPUTED_VALUE"""),"surat-pesanan-EP-01K8CDN1VM6E7AX4VMP1FQMR5B KEMUNING.pdf")</f>
        <v>surat-pesanan-EP-01K8CDN1VM6E7AX4VMP1FQMR5B KEMUNING.pdf</v>
      </c>
      <c r="F141" s="73"/>
      <c r="G141" s="73"/>
      <c r="H141" s="59"/>
      <c r="I141" s="24">
        <f>IFERROR(__xludf.DUMMYFUNCTION("""COMPUTED_VALUE"""),198460.0)</f>
        <v>198460</v>
      </c>
      <c r="J141" s="227"/>
      <c r="K141" s="228"/>
      <c r="L141" s="229">
        <f>IFERROR(__xludf.DUMMYFUNCTION("""COMPUTED_VALUE"""),198460.0)</f>
        <v>198460</v>
      </c>
      <c r="M141" s="251">
        <v>45960.0</v>
      </c>
      <c r="N141" s="205" t="s">
        <v>1138</v>
      </c>
      <c r="O141" s="199">
        <f t="shared" si="8"/>
        <v>198460</v>
      </c>
      <c r="P141" s="253">
        <v>45960.0</v>
      </c>
      <c r="Q141" s="222"/>
      <c r="R141" s="199">
        <f t="shared" si="3"/>
        <v>0</v>
      </c>
      <c r="S141" s="200"/>
      <c r="T141" s="201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</row>
    <row r="142" ht="15.75" hidden="1" customHeight="1">
      <c r="A142" s="190"/>
      <c r="B142" s="190"/>
      <c r="C142" s="60" t="str">
        <f>IFERROR(__xludf.DUMMYFUNCTION("""COMPUTED_VALUE"""),"Pembelian composit resin (pkm kemuning)")</f>
        <v>Pembelian composit resin (pkm kemuning)</v>
      </c>
      <c r="D142" s="73"/>
      <c r="E142" s="219" t="str">
        <f>IFERROR(__xludf.DUMMYFUNCTION("""COMPUTED_VALUE"""),"surat-pesanan-EP-01K8CDN1VM6E7AX4VMP1FQMR5B KEMUNING.pdf")</f>
        <v>surat-pesanan-EP-01K8CDN1VM6E7AX4VMP1FQMR5B KEMUNING.pdf</v>
      </c>
      <c r="F142" s="73"/>
      <c r="G142" s="73"/>
      <c r="H142" s="59"/>
      <c r="I142" s="24">
        <f>IFERROR(__xludf.DUMMYFUNCTION("""COMPUTED_VALUE"""),371500.0)</f>
        <v>371500</v>
      </c>
      <c r="J142" s="227"/>
      <c r="K142" s="228"/>
      <c r="L142" s="229">
        <f>IFERROR(__xludf.DUMMYFUNCTION("""COMPUTED_VALUE"""),371500.0)</f>
        <v>371500</v>
      </c>
      <c r="M142" s="251">
        <v>45960.0</v>
      </c>
      <c r="N142" s="205" t="s">
        <v>1138</v>
      </c>
      <c r="O142" s="199">
        <f t="shared" si="8"/>
        <v>371500</v>
      </c>
      <c r="P142" s="253">
        <v>45960.0</v>
      </c>
      <c r="Q142" s="222"/>
      <c r="R142" s="199">
        <f t="shared" si="3"/>
        <v>0</v>
      </c>
      <c r="S142" s="200"/>
      <c r="T142" s="201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</row>
    <row r="143" ht="15.75" hidden="1" customHeight="1">
      <c r="A143" s="190"/>
      <c r="B143" s="190"/>
      <c r="C143" s="60" t="str">
        <f>IFERROR(__xludf.DUMMYFUNCTION("""COMPUTED_VALUE"""),"Pembelian Bonding (pkm kemuning)")</f>
        <v>Pembelian Bonding (pkm kemuning)</v>
      </c>
      <c r="D143" s="73"/>
      <c r="E143" s="219" t="str">
        <f>IFERROR(__xludf.DUMMYFUNCTION("""COMPUTED_VALUE"""),"surat-pesanan-EP-01K8CDN1VM6E7AX4VMP1FQMR5B KEMUNING.pdf")</f>
        <v>surat-pesanan-EP-01K8CDN1VM6E7AX4VMP1FQMR5B KEMUNING.pdf</v>
      </c>
      <c r="F143" s="73"/>
      <c r="G143" s="73"/>
      <c r="H143" s="59"/>
      <c r="I143" s="24">
        <f>IFERROR(__xludf.DUMMYFUNCTION("""COMPUTED_VALUE"""),109800.0)</f>
        <v>109800</v>
      </c>
      <c r="J143" s="227"/>
      <c r="K143" s="228"/>
      <c r="L143" s="229">
        <f>IFERROR(__xludf.DUMMYFUNCTION("""COMPUTED_VALUE"""),109800.0)</f>
        <v>109800</v>
      </c>
      <c r="M143" s="251">
        <v>45961.0</v>
      </c>
      <c r="N143" s="205" t="s">
        <v>1138</v>
      </c>
      <c r="O143" s="199">
        <f t="shared" si="8"/>
        <v>109800</v>
      </c>
      <c r="P143" s="253">
        <v>45961.0</v>
      </c>
      <c r="Q143" s="222"/>
      <c r="R143" s="199">
        <f t="shared" si="3"/>
        <v>0</v>
      </c>
      <c r="S143" s="200"/>
      <c r="T143" s="201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</row>
    <row r="144" ht="15.75" hidden="1" customHeight="1">
      <c r="A144" s="190"/>
      <c r="B144" s="190"/>
      <c r="C144" s="60" t="str">
        <f>IFERROR(__xludf.DUMMYFUNCTION("""COMPUTED_VALUE"""),"Pembelian eugenol (pkm kemuning)")</f>
        <v>Pembelian eugenol (pkm kemuning)</v>
      </c>
      <c r="D144" s="73"/>
      <c r="E144" s="219" t="str">
        <f>IFERROR(__xludf.DUMMYFUNCTION("""COMPUTED_VALUE"""),"surat-pesanan-EP-01K8CDN1VM6E7AX4VMP1FQMR5B KEMUNING.pdf")</f>
        <v>surat-pesanan-EP-01K8CDN1VM6E7AX4VMP1FQMR5B KEMUNING.pdf</v>
      </c>
      <c r="F144" s="73"/>
      <c r="G144" s="73"/>
      <c r="H144" s="59"/>
      <c r="I144" s="24">
        <f>IFERROR(__xludf.DUMMYFUNCTION("""COMPUTED_VALUE"""),84991.0)</f>
        <v>84991</v>
      </c>
      <c r="J144" s="227"/>
      <c r="K144" s="228"/>
      <c r="L144" s="229">
        <f>IFERROR(__xludf.DUMMYFUNCTION("""COMPUTED_VALUE"""),84991.0)</f>
        <v>84991</v>
      </c>
      <c r="M144" s="251">
        <v>45961.0</v>
      </c>
      <c r="N144" s="205" t="s">
        <v>1138</v>
      </c>
      <c r="O144" s="199">
        <f t="shared" si="8"/>
        <v>84991</v>
      </c>
      <c r="P144" s="253">
        <v>45961.0</v>
      </c>
      <c r="Q144" s="222"/>
      <c r="R144" s="199">
        <f t="shared" si="3"/>
        <v>0</v>
      </c>
      <c r="S144" s="200"/>
      <c r="T144" s="201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</row>
    <row r="145" ht="15.75" hidden="1" customHeight="1">
      <c r="A145" s="190"/>
      <c r="B145" s="190"/>
      <c r="C145" s="60" t="str">
        <f>IFERROR(__xludf.DUMMYFUNCTION("""COMPUTED_VALUE"""),"Pembelian cotton roll (pkm kemuning)")</f>
        <v>Pembelian cotton roll (pkm kemuning)</v>
      </c>
      <c r="D145" s="73"/>
      <c r="E145" s="219" t="str">
        <f>IFERROR(__xludf.DUMMYFUNCTION("""COMPUTED_VALUE"""),"surat-pesanan-EP-01K8CDN1VM6E7AX4VMP1FQMR5B KEMUNING.pdf")</f>
        <v>surat-pesanan-EP-01K8CDN1VM6E7AX4VMP1FQMR5B KEMUNING.pdf</v>
      </c>
      <c r="F145" s="73"/>
      <c r="G145" s="73"/>
      <c r="H145" s="59"/>
      <c r="I145" s="24">
        <f>IFERROR(__xludf.DUMMYFUNCTION("""COMPUTED_VALUE"""),40500.0)</f>
        <v>40500</v>
      </c>
      <c r="J145" s="227"/>
      <c r="K145" s="228"/>
      <c r="L145" s="229">
        <f>IFERROR(__xludf.DUMMYFUNCTION("""COMPUTED_VALUE"""),40500.0)</f>
        <v>40500</v>
      </c>
      <c r="M145" s="251">
        <v>45961.0</v>
      </c>
      <c r="N145" s="205" t="s">
        <v>1138</v>
      </c>
      <c r="O145" s="199">
        <f t="shared" si="8"/>
        <v>40500</v>
      </c>
      <c r="P145" s="253">
        <v>45961.0</v>
      </c>
      <c r="Q145" s="222"/>
      <c r="R145" s="199">
        <f t="shared" si="3"/>
        <v>0</v>
      </c>
      <c r="S145" s="200"/>
      <c r="T145" s="201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</row>
    <row r="146" ht="15.75" hidden="1" customHeight="1">
      <c r="A146" s="190"/>
      <c r="B146" s="190"/>
      <c r="C146" s="60" t="str">
        <f>IFERROR(__xludf.DUMMYFUNCTION("""COMPUTED_VALUE"""),"Pembelian etsa dental (pkm kemuning)")</f>
        <v>Pembelian etsa dental (pkm kemuning)</v>
      </c>
      <c r="D146" s="73"/>
      <c r="E146" s="219" t="str">
        <f>IFERROR(__xludf.DUMMYFUNCTION("""COMPUTED_VALUE"""),"surat-pesanan-EP-01K8CDN1VM6E7AX4VMP1FQMR5B KEMUNING.pdf")</f>
        <v>surat-pesanan-EP-01K8CDN1VM6E7AX4VMP1FQMR5B KEMUNING.pdf</v>
      </c>
      <c r="F146" s="73"/>
      <c r="G146" s="73"/>
      <c r="H146" s="59"/>
      <c r="I146" s="24">
        <f>IFERROR(__xludf.DUMMYFUNCTION("""COMPUTED_VALUE"""),41900.0)</f>
        <v>41900</v>
      </c>
      <c r="J146" s="227"/>
      <c r="K146" s="228"/>
      <c r="L146" s="229">
        <f>IFERROR(__xludf.DUMMYFUNCTION("""COMPUTED_VALUE"""),41900.0)</f>
        <v>41900</v>
      </c>
      <c r="M146" s="251">
        <v>45961.0</v>
      </c>
      <c r="N146" s="205" t="s">
        <v>1138</v>
      </c>
      <c r="O146" s="199">
        <f t="shared" si="8"/>
        <v>41900</v>
      </c>
      <c r="P146" s="253">
        <v>45963.0</v>
      </c>
      <c r="Q146" s="222"/>
      <c r="R146" s="199">
        <f t="shared" si="3"/>
        <v>0</v>
      </c>
      <c r="S146" s="200"/>
      <c r="T146" s="201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</row>
    <row r="147" ht="15.75" hidden="1" customHeight="1">
      <c r="A147" s="190"/>
      <c r="B147" s="190"/>
      <c r="C147" s="60" t="str">
        <f>IFERROR(__xludf.DUMMYFUNCTION("""COMPUTED_VALUE"""),"Pembelian plastik tiger (pkm cileungsi)")</f>
        <v>Pembelian plastik tiger (pkm cileungsi)</v>
      </c>
      <c r="D147" s="73"/>
      <c r="E147" s="219" t="str">
        <f>IFERROR(__xludf.DUMMYFUNCTION("""COMPUTED_VALUE"""),"surat-pesanan-EP-01K7E2XN5Q0J6QA4FPP2GF0YT2 PKM CILEUNGSI (2).pdf")</f>
        <v>surat-pesanan-EP-01K7E2XN5Q0J6QA4FPP2GF0YT2 PKM CILEUNGSI (2).pdf</v>
      </c>
      <c r="F147" s="73"/>
      <c r="G147" s="73"/>
      <c r="H147" s="59"/>
      <c r="I147" s="24">
        <f>IFERROR(__xludf.DUMMYFUNCTION("""COMPUTED_VALUE"""),48400.0)</f>
        <v>48400</v>
      </c>
      <c r="J147" s="227"/>
      <c r="K147" s="228"/>
      <c r="L147" s="229">
        <f>IFERROR(__xludf.DUMMYFUNCTION("""COMPUTED_VALUE"""),48400.0)</f>
        <v>48400</v>
      </c>
      <c r="M147" s="251">
        <v>45964.0</v>
      </c>
      <c r="N147" s="205" t="s">
        <v>1138</v>
      </c>
      <c r="O147" s="199">
        <f t="shared" si="8"/>
        <v>48400</v>
      </c>
      <c r="P147" s="253">
        <v>45964.0</v>
      </c>
      <c r="Q147" s="222"/>
      <c r="R147" s="199">
        <f t="shared" si="3"/>
        <v>0</v>
      </c>
      <c r="S147" s="200"/>
      <c r="T147" s="201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</row>
    <row r="148" ht="15.75" hidden="1" customHeight="1">
      <c r="A148" s="190"/>
      <c r="B148" s="190"/>
      <c r="C148" s="60" t="str">
        <f>IFERROR(__xludf.DUMMYFUNCTION("""COMPUTED_VALUE"""),"Pembelian plastik sampah hitam 35x55 (pkm cileungsi)")</f>
        <v>Pembelian plastik sampah hitam 35x55 (pkm cileungsi)</v>
      </c>
      <c r="D148" s="73"/>
      <c r="E148" s="219" t="str">
        <f>IFERROR(__xludf.DUMMYFUNCTION("""COMPUTED_VALUE"""),"surat-pesanan-EP-01K7E2XN5Q0J6QA4FPP2GF0YT2 PKM CILEUNGSI (2).pdf")</f>
        <v>surat-pesanan-EP-01K7E2XN5Q0J6QA4FPP2GF0YT2 PKM CILEUNGSI (2).pdf</v>
      </c>
      <c r="F148" s="73"/>
      <c r="G148" s="73"/>
      <c r="H148" s="59"/>
      <c r="I148" s="24">
        <f>IFERROR(__xludf.DUMMYFUNCTION("""COMPUTED_VALUE"""),557464.0)</f>
        <v>557464</v>
      </c>
      <c r="J148" s="227"/>
      <c r="K148" s="228"/>
      <c r="L148" s="229">
        <f>IFERROR(__xludf.DUMMYFUNCTION("""COMPUTED_VALUE"""),557464.0)</f>
        <v>557464</v>
      </c>
      <c r="M148" s="251">
        <v>45964.0</v>
      </c>
      <c r="N148" s="205" t="s">
        <v>1138</v>
      </c>
      <c r="O148" s="199">
        <f t="shared" si="8"/>
        <v>557464</v>
      </c>
      <c r="P148" s="253">
        <v>45964.0</v>
      </c>
      <c r="Q148" s="222"/>
      <c r="R148" s="199">
        <f t="shared" si="3"/>
        <v>0</v>
      </c>
      <c r="S148" s="200"/>
      <c r="T148" s="201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</row>
    <row r="149" ht="15.75" hidden="1" customHeight="1">
      <c r="A149" s="190"/>
      <c r="B149" s="190"/>
      <c r="C149" s="60" t="str">
        <f>IFERROR(__xludf.DUMMYFUNCTION("""COMPUTED_VALUE"""),"Pembelian plastik sampah 60x100 (pkm cileungsi)")</f>
        <v>Pembelian plastik sampah 60x100 (pkm cileungsi)</v>
      </c>
      <c r="D149" s="73"/>
      <c r="E149" s="219" t="str">
        <f>IFERROR(__xludf.DUMMYFUNCTION("""COMPUTED_VALUE"""),"surat-pesanan-EP-01K7E2XN5Q0J6QA4FPP2GF0YT2 PKM CILEUNGSI (2).pdf")</f>
        <v>surat-pesanan-EP-01K7E2XN5Q0J6QA4FPP2GF0YT2 PKM CILEUNGSI (2).pdf</v>
      </c>
      <c r="F149" s="73"/>
      <c r="G149" s="73"/>
      <c r="H149" s="59"/>
      <c r="I149" s="24">
        <f>IFERROR(__xludf.DUMMYFUNCTION("""COMPUTED_VALUE"""),360000.0)</f>
        <v>360000</v>
      </c>
      <c r="J149" s="227"/>
      <c r="K149" s="228"/>
      <c r="L149" s="229">
        <f>IFERROR(__xludf.DUMMYFUNCTION("""COMPUTED_VALUE"""),360000.0)</f>
        <v>360000</v>
      </c>
      <c r="M149" s="251">
        <v>45964.0</v>
      </c>
      <c r="N149" s="205" t="s">
        <v>1138</v>
      </c>
      <c r="O149" s="199">
        <f t="shared" si="8"/>
        <v>360000</v>
      </c>
      <c r="P149" s="253">
        <v>45964.0</v>
      </c>
      <c r="Q149" s="222"/>
      <c r="R149" s="199">
        <f t="shared" si="3"/>
        <v>0</v>
      </c>
      <c r="S149" s="200"/>
      <c r="T149" s="201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</row>
    <row r="150" ht="15.75" hidden="1" customHeight="1">
      <c r="A150" s="190"/>
      <c r="B150" s="190"/>
      <c r="C150" s="60" t="str">
        <f>IFERROR(__xludf.DUMMYFUNCTION("""COMPUTED_VALUE"""),"Pembelian plastik sampah kuning (pkm cileungsi)")</f>
        <v>Pembelian plastik sampah kuning (pkm cileungsi)</v>
      </c>
      <c r="D150" s="73"/>
      <c r="E150" s="219" t="str">
        <f>IFERROR(__xludf.DUMMYFUNCTION("""COMPUTED_VALUE"""),"surat-pesanan-EP-01K7E2XN5Q0J6QA4FPP2GF0YT2 PKM CILEUNGSI (2).pdf")</f>
        <v>surat-pesanan-EP-01K7E2XN5Q0J6QA4FPP2GF0YT2 PKM CILEUNGSI (2).pdf</v>
      </c>
      <c r="F150" s="73"/>
      <c r="G150" s="73"/>
      <c r="H150" s="59"/>
      <c r="I150" s="24">
        <f>IFERROR(__xludf.DUMMYFUNCTION("""COMPUTED_VALUE"""),477417.0)</f>
        <v>477417</v>
      </c>
      <c r="J150" s="227"/>
      <c r="K150" s="228"/>
      <c r="L150" s="229">
        <f>IFERROR(__xludf.DUMMYFUNCTION("""COMPUTED_VALUE"""),477417.0)</f>
        <v>477417</v>
      </c>
      <c r="M150" s="251">
        <v>45964.0</v>
      </c>
      <c r="N150" s="205" t="s">
        <v>1138</v>
      </c>
      <c r="O150" s="199">
        <f t="shared" si="8"/>
        <v>477417</v>
      </c>
      <c r="P150" s="253">
        <v>45964.0</v>
      </c>
      <c r="Q150" s="222"/>
      <c r="R150" s="199">
        <f t="shared" si="3"/>
        <v>0</v>
      </c>
      <c r="S150" s="200"/>
      <c r="T150" s="201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</row>
    <row r="151" ht="15.75" hidden="1" customHeight="1">
      <c r="A151" s="190"/>
      <c r="B151" s="190"/>
      <c r="C151" s="60" t="str">
        <f>IFERROR(__xludf.DUMMYFUNCTION("""COMPUTED_VALUE"""),"Top Up Petty Cash ")</f>
        <v>Top Up Petty Cash </v>
      </c>
      <c r="D151" s="73"/>
      <c r="E151" s="221"/>
      <c r="F151" s="73"/>
      <c r="G151" s="73"/>
      <c r="H151" s="59"/>
      <c r="I151" s="24">
        <f>IFERROR(__xludf.DUMMYFUNCTION("""COMPUTED_VALUE"""),5000000.0)</f>
        <v>5000000</v>
      </c>
      <c r="J151" s="227"/>
      <c r="K151" s="228"/>
      <c r="L151" s="229">
        <f>IFERROR(__xludf.DUMMYFUNCTION("""COMPUTED_VALUE"""),5000000.0)</f>
        <v>5000000</v>
      </c>
      <c r="M151" s="251">
        <v>45964.0</v>
      </c>
      <c r="N151" s="205" t="s">
        <v>1138</v>
      </c>
      <c r="O151" s="199">
        <f t="shared" si="8"/>
        <v>5000000</v>
      </c>
      <c r="P151" s="253">
        <v>45964.0</v>
      </c>
      <c r="Q151" s="250">
        <v>2500.0</v>
      </c>
      <c r="R151" s="199">
        <f t="shared" si="3"/>
        <v>0</v>
      </c>
      <c r="S151" s="200"/>
      <c r="T151" s="201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</row>
    <row r="152" ht="15.75" hidden="1" customHeight="1">
      <c r="A152" s="190"/>
      <c r="B152" s="190"/>
      <c r="C152" s="60" t="str">
        <f>IFERROR(__xludf.DUMMYFUNCTION("""COMPUTED_VALUE"""),"Rimbursen ops kibo 3 novemner")</f>
        <v>Rimbursen ops kibo 3 novemner</v>
      </c>
      <c r="D152" s="73"/>
      <c r="E152" s="221"/>
      <c r="F152" s="73"/>
      <c r="G152" s="73"/>
      <c r="H152" s="59"/>
      <c r="I152" s="24">
        <f>IFERROR(__xludf.DUMMYFUNCTION("""COMPUTED_VALUE"""),770000.0)</f>
        <v>770000</v>
      </c>
      <c r="J152" s="227"/>
      <c r="K152" s="228"/>
      <c r="L152" s="229">
        <f>IFERROR(__xludf.DUMMYFUNCTION("""COMPUTED_VALUE"""),770000.0)</f>
        <v>770000</v>
      </c>
      <c r="M152" s="251">
        <v>45964.0</v>
      </c>
      <c r="N152" s="205" t="s">
        <v>1138</v>
      </c>
      <c r="O152" s="199">
        <f t="shared" si="8"/>
        <v>770000</v>
      </c>
      <c r="P152" s="253">
        <v>45964.0</v>
      </c>
      <c r="Q152" s="222"/>
      <c r="R152" s="199">
        <f t="shared" si="3"/>
        <v>0</v>
      </c>
      <c r="S152" s="200"/>
      <c r="T152" s="201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</row>
    <row r="153" ht="15.75" hidden="1" customHeight="1">
      <c r="A153" s="190"/>
      <c r="B153" s="190"/>
      <c r="C153" s="60" t="str">
        <f>IFERROR(__xludf.DUMMYFUNCTION("""COMPUTED_VALUE"""),"Pembayaran Biznet")</f>
        <v>Pembayaran Biznet</v>
      </c>
      <c r="D153" s="73"/>
      <c r="E153" s="221"/>
      <c r="F153" s="73"/>
      <c r="G153" s="73"/>
      <c r="H153" s="59"/>
      <c r="I153" s="24">
        <f>IFERROR(__xludf.DUMMYFUNCTION("""COMPUTED_VALUE"""),1050000.0)</f>
        <v>1050000</v>
      </c>
      <c r="J153" s="227">
        <f>IFERROR(__xludf.DUMMYFUNCTION("""COMPUTED_VALUE"""),115500.0)</f>
        <v>115500</v>
      </c>
      <c r="K153" s="227">
        <f>IFERROR(__xludf.DUMMYFUNCTION("""COMPUTED_VALUE"""),21000.0)</f>
        <v>21000</v>
      </c>
      <c r="L153" s="229">
        <f>IFERROR(__xludf.DUMMYFUNCTION("""COMPUTED_VALUE"""),1144500.0)</f>
        <v>1144500</v>
      </c>
      <c r="M153" s="251">
        <v>45964.0</v>
      </c>
      <c r="N153" s="205" t="s">
        <v>1138</v>
      </c>
      <c r="O153" s="199">
        <f t="shared" si="8"/>
        <v>1144500</v>
      </c>
      <c r="P153" s="253">
        <v>45964.0</v>
      </c>
      <c r="Q153" s="222"/>
      <c r="R153" s="199">
        <f t="shared" si="3"/>
        <v>0</v>
      </c>
      <c r="S153" s="200"/>
      <c r="T153" s="201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</row>
    <row r="154" ht="15.75" hidden="1" customHeight="1">
      <c r="A154" s="190"/>
      <c r="B154" s="190"/>
      <c r="C154" s="60" t="str">
        <f>IFERROR(__xludf.DUMMYFUNCTION("""COMPUTED_VALUE"""),"Pembelian Timbangan (pkm banjarsari)")</f>
        <v>Pembelian Timbangan (pkm banjarsari)</v>
      </c>
      <c r="D154" s="73"/>
      <c r="E154" s="219" t="str">
        <f>IFERROR(__xludf.DUMMYFUNCTION("""COMPUTED_VALUE"""),"surat-pesanan-EP-01K8SQH6GS325BG71N1Y95RT64 (1).pdf")</f>
        <v>surat-pesanan-EP-01K8SQH6GS325BG71N1Y95RT64 (1).pdf</v>
      </c>
      <c r="F154" s="73"/>
      <c r="G154" s="73">
        <f>IFERROR(__xludf.DUMMYFUNCTION("""COMPUTED_VALUE"""),45966.0)</f>
        <v>45966</v>
      </c>
      <c r="H154" s="59"/>
      <c r="I154" s="24">
        <f>IFERROR(__xludf.DUMMYFUNCTION("""COMPUTED_VALUE"""),152400.0)</f>
        <v>152400</v>
      </c>
      <c r="J154" s="227"/>
      <c r="K154" s="228"/>
      <c r="L154" s="229">
        <f>IFERROR(__xludf.DUMMYFUNCTION("""COMPUTED_VALUE"""),152400.0)</f>
        <v>152400</v>
      </c>
      <c r="M154" s="251">
        <v>45967.0</v>
      </c>
      <c r="N154" s="205" t="s">
        <v>1138</v>
      </c>
      <c r="O154" s="199">
        <f t="shared" si="8"/>
        <v>152400</v>
      </c>
      <c r="P154" s="253">
        <v>45967.0</v>
      </c>
      <c r="Q154" s="222"/>
      <c r="R154" s="199">
        <f t="shared" si="3"/>
        <v>0</v>
      </c>
      <c r="S154" s="200"/>
      <c r="T154" s="201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</row>
    <row r="155" ht="15.75" hidden="1" customHeight="1">
      <c r="A155" s="190"/>
      <c r="B155" s="190"/>
      <c r="C155" s="60" t="str">
        <f>IFERROR(__xludf.DUMMYFUNCTION("""COMPUTED_VALUE"""),"Pembelian Kaca Mulut (pkm gandoang)")</f>
        <v>Pembelian Kaca Mulut (pkm gandoang)</v>
      </c>
      <c r="D155" s="73"/>
      <c r="E155" s="219" t="str">
        <f>IFERROR(__xludf.DUMMYFUNCTION("""COMPUTED_VALUE"""),"surat-pesanan-EP-01K8WVQBT5XQ5RMP4ZMEG7DNZY.pdf")</f>
        <v>surat-pesanan-EP-01K8WVQBT5XQ5RMP4ZMEG7DNZY.pdf</v>
      </c>
      <c r="F155" s="73"/>
      <c r="G155" s="73">
        <f>IFERROR(__xludf.DUMMYFUNCTION("""COMPUTED_VALUE"""),45966.0)</f>
        <v>45966</v>
      </c>
      <c r="H155" s="59"/>
      <c r="I155" s="24">
        <f>IFERROR(__xludf.DUMMYFUNCTION("""COMPUTED_VALUE"""),472000.0)</f>
        <v>472000</v>
      </c>
      <c r="J155" s="227"/>
      <c r="K155" s="228"/>
      <c r="L155" s="229">
        <f>IFERROR(__xludf.DUMMYFUNCTION("""COMPUTED_VALUE"""),472000.0)</f>
        <v>472000</v>
      </c>
      <c r="M155" s="251">
        <v>45967.0</v>
      </c>
      <c r="N155" s="205" t="s">
        <v>1138</v>
      </c>
      <c r="O155" s="199">
        <f t="shared" si="8"/>
        <v>472000</v>
      </c>
      <c r="P155" s="253">
        <v>45967.0</v>
      </c>
      <c r="Q155" s="222"/>
      <c r="R155" s="199">
        <f t="shared" si="3"/>
        <v>0</v>
      </c>
      <c r="S155" s="200"/>
      <c r="T155" s="201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</row>
    <row r="156" ht="15.75" hidden="1" customHeight="1">
      <c r="A156" s="190"/>
      <c r="B156" s="190"/>
      <c r="C156" s="60" t="str">
        <f>IFERROR(__xludf.DUMMYFUNCTION("""COMPUTED_VALUE"""),"Pembelian Bein Elevator (pkm gandoang)")</f>
        <v>Pembelian Bein Elevator (pkm gandoang)</v>
      </c>
      <c r="D156" s="73"/>
      <c r="E156" s="219" t="str">
        <f>IFERROR(__xludf.DUMMYFUNCTION("""COMPUTED_VALUE"""),"surat-pesanan-EP-01K8WVQBT5XQ5RMP4ZMEG7DNZY.pdf")</f>
        <v>surat-pesanan-EP-01K8WVQBT5XQ5RMP4ZMEG7DNZY.pdf</v>
      </c>
      <c r="F156" s="73"/>
      <c r="G156" s="73">
        <f>IFERROR(__xludf.DUMMYFUNCTION("""COMPUTED_VALUE"""),45966.0)</f>
        <v>45966</v>
      </c>
      <c r="H156" s="59"/>
      <c r="I156" s="24">
        <f>IFERROR(__xludf.DUMMYFUNCTION("""COMPUTED_VALUE"""),76800.0)</f>
        <v>76800</v>
      </c>
      <c r="J156" s="227"/>
      <c r="K156" s="228"/>
      <c r="L156" s="229">
        <f>IFERROR(__xludf.DUMMYFUNCTION("""COMPUTED_VALUE"""),76800.0)</f>
        <v>76800</v>
      </c>
      <c r="M156" s="251">
        <v>45967.0</v>
      </c>
      <c r="N156" s="205" t="s">
        <v>1138</v>
      </c>
      <c r="O156" s="199">
        <f t="shared" si="8"/>
        <v>76800</v>
      </c>
      <c r="P156" s="253">
        <v>45967.0</v>
      </c>
      <c r="Q156" s="222"/>
      <c r="R156" s="199">
        <f t="shared" si="3"/>
        <v>0</v>
      </c>
      <c r="S156" s="200"/>
      <c r="T156" s="201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</row>
    <row r="157" ht="15.75" hidden="1" customHeight="1">
      <c r="A157" s="190"/>
      <c r="B157" s="190"/>
      <c r="C157" s="60" t="str">
        <f>IFERROR(__xludf.DUMMYFUNCTION("""COMPUTED_VALUE"""),"Pembelian Sonde (pkm gandoang)")</f>
        <v>Pembelian Sonde (pkm gandoang)</v>
      </c>
      <c r="D157" s="73"/>
      <c r="E157" s="219" t="str">
        <f>IFERROR(__xludf.DUMMYFUNCTION("""COMPUTED_VALUE"""),"surat-pesanan-EP-01K8WVQBT5XQ5RMP4ZMEG7DNZY.pdf")</f>
        <v>surat-pesanan-EP-01K8WVQBT5XQ5RMP4ZMEG7DNZY.pdf</v>
      </c>
      <c r="F157" s="73"/>
      <c r="G157" s="73">
        <f>IFERROR(__xludf.DUMMYFUNCTION("""COMPUTED_VALUE"""),45966.0)</f>
        <v>45966</v>
      </c>
      <c r="H157" s="59"/>
      <c r="I157" s="24">
        <f>IFERROR(__xludf.DUMMYFUNCTION("""COMPUTED_VALUE"""),71500.0)</f>
        <v>71500</v>
      </c>
      <c r="J157" s="227"/>
      <c r="K157" s="228"/>
      <c r="L157" s="229">
        <f>IFERROR(__xludf.DUMMYFUNCTION("""COMPUTED_VALUE"""),71500.0)</f>
        <v>71500</v>
      </c>
      <c r="M157" s="251">
        <v>45967.0</v>
      </c>
      <c r="N157" s="205" t="s">
        <v>1138</v>
      </c>
      <c r="O157" s="199">
        <f t="shared" si="8"/>
        <v>71500</v>
      </c>
      <c r="P157" s="253">
        <v>45967.0</v>
      </c>
      <c r="Q157" s="222"/>
      <c r="R157" s="199">
        <f t="shared" si="3"/>
        <v>0</v>
      </c>
      <c r="S157" s="200"/>
      <c r="T157" s="201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</row>
    <row r="158" ht="15.75" hidden="1" customHeight="1">
      <c r="A158" s="190"/>
      <c r="B158" s="190"/>
      <c r="C158" s="60" t="str">
        <f>IFERROR(__xludf.DUMMYFUNCTION("""COMPUTED_VALUE"""),"Pembelian Pinset (pkm gandoang)")</f>
        <v>Pembelian Pinset (pkm gandoang)</v>
      </c>
      <c r="D158" s="73"/>
      <c r="E158" s="219" t="str">
        <f>IFERROR(__xludf.DUMMYFUNCTION("""COMPUTED_VALUE"""),"surat-pesanan-EP-01K8WVQBT5XQ5RMP4ZMEG7DNZY.pdf")</f>
        <v>surat-pesanan-EP-01K8WVQBT5XQ5RMP4ZMEG7DNZY.pdf</v>
      </c>
      <c r="F158" s="73"/>
      <c r="G158" s="73">
        <f>IFERROR(__xludf.DUMMYFUNCTION("""COMPUTED_VALUE"""),45966.0)</f>
        <v>45966</v>
      </c>
      <c r="H158" s="59"/>
      <c r="I158" s="24">
        <f>IFERROR(__xludf.DUMMYFUNCTION("""COMPUTED_VALUE"""),72100.0)</f>
        <v>72100</v>
      </c>
      <c r="J158" s="227"/>
      <c r="K158" s="228"/>
      <c r="L158" s="229">
        <f>IFERROR(__xludf.DUMMYFUNCTION("""COMPUTED_VALUE"""),72100.0)</f>
        <v>72100</v>
      </c>
      <c r="M158" s="251">
        <v>45967.0</v>
      </c>
      <c r="N158" s="205" t="s">
        <v>1138</v>
      </c>
      <c r="O158" s="199">
        <f t="shared" si="8"/>
        <v>72100</v>
      </c>
      <c r="P158" s="253">
        <v>45967.0</v>
      </c>
      <c r="Q158" s="222"/>
      <c r="R158" s="199">
        <f t="shared" si="3"/>
        <v>0</v>
      </c>
      <c r="S158" s="200"/>
      <c r="T158" s="201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</row>
    <row r="159" ht="15.75" hidden="1" customHeight="1">
      <c r="A159" s="190"/>
      <c r="B159" s="190"/>
      <c r="C159" s="60" t="str">
        <f>IFERROR(__xludf.DUMMYFUNCTION("""COMPUTED_VALUE"""),"Pengajuan Laptop Syifa ")</f>
        <v>Pengajuan Laptop Syifa </v>
      </c>
      <c r="D159" s="73"/>
      <c r="E159" s="221"/>
      <c r="F159" s="73"/>
      <c r="G159" s="73">
        <f>IFERROR(__xludf.DUMMYFUNCTION("""COMPUTED_VALUE"""),45966.0)</f>
        <v>45966</v>
      </c>
      <c r="H159" s="59"/>
      <c r="I159" s="24">
        <f>IFERROR(__xludf.DUMMYFUNCTION("""COMPUTED_VALUE"""),6460000.0)</f>
        <v>6460000</v>
      </c>
      <c r="J159" s="227"/>
      <c r="K159" s="228"/>
      <c r="L159" s="229">
        <f>IFERROR(__xludf.DUMMYFUNCTION("""COMPUTED_VALUE"""),6460000.0)</f>
        <v>6460000</v>
      </c>
      <c r="M159" s="251">
        <v>45967.0</v>
      </c>
      <c r="N159" s="205" t="s">
        <v>1138</v>
      </c>
      <c r="O159" s="199">
        <f t="shared" si="8"/>
        <v>6460000</v>
      </c>
      <c r="P159" s="253">
        <v>45967.0</v>
      </c>
      <c r="Q159" s="222"/>
      <c r="R159" s="199">
        <f t="shared" si="3"/>
        <v>0</v>
      </c>
      <c r="S159" s="200"/>
      <c r="T159" s="201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</row>
    <row r="160" ht="15.75" hidden="1" customHeight="1">
      <c r="A160" s="190"/>
      <c r="B160" s="190"/>
      <c r="C160" s="60" t="str">
        <f>IFERROR(__xludf.DUMMYFUNCTION("""COMPUTED_VALUE"""),"Reimburse Ops Pa Agus")</f>
        <v>Reimburse Ops Pa Agus</v>
      </c>
      <c r="D160" s="73"/>
      <c r="E160" s="221"/>
      <c r="F160" s="73"/>
      <c r="G160" s="73">
        <f>IFERROR(__xludf.DUMMYFUNCTION("""COMPUTED_VALUE"""),45966.0)</f>
        <v>45966</v>
      </c>
      <c r="H160" s="59"/>
      <c r="I160" s="24">
        <f>IFERROR(__xludf.DUMMYFUNCTION("""COMPUTED_VALUE"""),705000.0)</f>
        <v>705000</v>
      </c>
      <c r="J160" s="227"/>
      <c r="K160" s="228"/>
      <c r="L160" s="229">
        <f>IFERROR(__xludf.DUMMYFUNCTION("""COMPUTED_VALUE"""),705000.0)</f>
        <v>705000</v>
      </c>
      <c r="M160" s="251">
        <v>45967.0</v>
      </c>
      <c r="N160" s="205" t="s">
        <v>1138</v>
      </c>
      <c r="O160" s="199">
        <f t="shared" si="8"/>
        <v>705000</v>
      </c>
      <c r="P160" s="253">
        <v>45967.0</v>
      </c>
      <c r="Q160" s="222"/>
      <c r="R160" s="199">
        <f t="shared" si="3"/>
        <v>0</v>
      </c>
      <c r="S160" s="200"/>
      <c r="T160" s="201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</row>
    <row r="161" ht="15.75" hidden="1" customHeight="1">
      <c r="A161" s="190"/>
      <c r="B161" s="190"/>
      <c r="C161" s="60" t="str">
        <f>IFERROR(__xludf.DUMMYFUNCTION("""COMPUTED_VALUE"""),"Top Up Petty Cash")</f>
        <v>Top Up Petty Cash</v>
      </c>
      <c r="D161" s="73"/>
      <c r="E161" s="221"/>
      <c r="F161" s="73"/>
      <c r="G161" s="73"/>
      <c r="H161" s="59"/>
      <c r="I161" s="24">
        <f>IFERROR(__xludf.DUMMYFUNCTION("""COMPUTED_VALUE"""),5000000.0)</f>
        <v>5000000</v>
      </c>
      <c r="J161" s="227"/>
      <c r="K161" s="228"/>
      <c r="L161" s="229">
        <f>IFERROR(__xludf.DUMMYFUNCTION("""COMPUTED_VALUE"""),5000000.0)</f>
        <v>5000000</v>
      </c>
      <c r="M161" s="251">
        <v>45967.0</v>
      </c>
      <c r="N161" s="205" t="s">
        <v>1138</v>
      </c>
      <c r="O161" s="199">
        <f t="shared" si="8"/>
        <v>5000000</v>
      </c>
      <c r="P161" s="253">
        <v>45967.0</v>
      </c>
      <c r="Q161" s="250">
        <v>2500.0</v>
      </c>
      <c r="R161" s="199">
        <f t="shared" si="3"/>
        <v>0</v>
      </c>
      <c r="S161" s="200"/>
      <c r="T161" s="201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</row>
    <row r="162" ht="15.75" hidden="1" customHeight="1">
      <c r="A162" s="190"/>
      <c r="B162" s="190" t="str">
        <f>IFERROR(__xludf.DUMMYFUNCTION("""COMPUTED_VALUE"""),"PT. MBC")</f>
        <v>PT. MBC</v>
      </c>
      <c r="C162" s="60" t="str">
        <f>IFERROR(__xludf.DUMMYFUNCTION("""COMPUTED_VALUE"""),"Penggantian barang rusak pesanan")</f>
        <v>Penggantian barang rusak pesanan</v>
      </c>
      <c r="D162" s="73"/>
      <c r="E162" s="221"/>
      <c r="F162" s="73"/>
      <c r="G162" s="73"/>
      <c r="H162" s="59"/>
      <c r="I162" s="24">
        <f>IFERROR(__xludf.DUMMYFUNCTION("""COMPUTED_VALUE"""),536250.0)</f>
        <v>536250</v>
      </c>
      <c r="J162" s="227">
        <f>IFERROR(__xludf.DUMMYFUNCTION("""COMPUTED_VALUE"""),58988.0)</f>
        <v>58988</v>
      </c>
      <c r="K162" s="228"/>
      <c r="L162" s="229">
        <f>IFERROR(__xludf.DUMMYFUNCTION("""COMPUTED_VALUE"""),595238.0)</f>
        <v>595238</v>
      </c>
      <c r="M162" s="251">
        <v>45967.0</v>
      </c>
      <c r="N162" s="205" t="s">
        <v>1138</v>
      </c>
      <c r="O162" s="199">
        <f t="shared" si="8"/>
        <v>595238</v>
      </c>
      <c r="P162" s="253">
        <v>45967.0</v>
      </c>
      <c r="Q162" s="222"/>
      <c r="R162" s="199">
        <f t="shared" si="3"/>
        <v>0</v>
      </c>
      <c r="S162" s="200"/>
      <c r="T162" s="201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</row>
    <row r="163" ht="15.75" hidden="1" customHeight="1">
      <c r="A163" s="190"/>
      <c r="B163" s="190" t="str">
        <f>IFERROR(__xludf.DUMMYFUNCTION("""COMPUTED_VALUE"""),"PT. Anara")</f>
        <v>PT. Anara</v>
      </c>
      <c r="C163" s="60" t="str">
        <f>IFERROR(__xludf.DUMMYFUNCTION("""COMPUTED_VALUE"""),"Pembelian masker 400 box (pesanan pkm tj priok)")</f>
        <v>Pembelian masker 400 box (pesanan pkm tj priok)</v>
      </c>
      <c r="D163" s="73"/>
      <c r="E163" s="219" t="str">
        <f>IFERROR(__xludf.DUMMYFUNCTION("""COMPUTED_VALUE"""),"surat-pesanan-EP-01K8MY1H7BRVKDXQZTE71Y197R PKM Tanjung Priok.pdf")</f>
        <v>surat-pesanan-EP-01K8MY1H7BRVKDXQZTE71Y197R PKM Tanjung Priok.pdf</v>
      </c>
      <c r="F163" s="220" t="str">
        <f>IFERROR(__xludf.DUMMYFUNCTION("""COMPUTED_VALUE"""),"MPG-071125002 - PT. ANARA.pdf")</f>
        <v>MPG-071125002 - PT. ANARA.pdf</v>
      </c>
      <c r="G163" s="73">
        <f>IFERROR(__xludf.DUMMYFUNCTION("""COMPUTED_VALUE"""),45968.0)</f>
        <v>45968</v>
      </c>
      <c r="H163" s="59"/>
      <c r="I163" s="24">
        <f>IFERROR(__xludf.DUMMYFUNCTION("""COMPUTED_VALUE"""),4396396.0)</f>
        <v>4396396</v>
      </c>
      <c r="J163" s="227">
        <f>IFERROR(__xludf.DUMMYFUNCTION("""COMPUTED_VALUE"""),483604.0)</f>
        <v>483604</v>
      </c>
      <c r="K163" s="228"/>
      <c r="L163" s="229">
        <f>IFERROR(__xludf.DUMMYFUNCTION("""COMPUTED_VALUE"""),4880000.0)</f>
        <v>4880000</v>
      </c>
      <c r="M163" s="251">
        <v>45967.0</v>
      </c>
      <c r="N163" s="205" t="s">
        <v>1138</v>
      </c>
      <c r="O163" s="199">
        <f t="shared" si="8"/>
        <v>4880000</v>
      </c>
      <c r="P163" s="253">
        <v>45967.0</v>
      </c>
      <c r="Q163" s="222"/>
      <c r="R163" s="199">
        <f t="shared" si="3"/>
        <v>0</v>
      </c>
      <c r="S163" s="200"/>
      <c r="T163" s="201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</row>
    <row r="164" ht="15.75" hidden="1" customHeight="1">
      <c r="A164" s="190"/>
      <c r="B164" s="190"/>
      <c r="C164" s="60" t="str">
        <f>IFERROR(__xludf.DUMMYFUNCTION("""COMPUTED_VALUE"""),"Pembelian pesanan cv. meyda")</f>
        <v>Pembelian pesanan cv. meyda</v>
      </c>
      <c r="D164" s="73"/>
      <c r="E164" s="219" t="str">
        <f>IFERROR(__xludf.DUMMYFUNCTION("""COMPUTED_VALUE"""),"SP CV Meyda.pdf")</f>
        <v>SP CV Meyda.pdf</v>
      </c>
      <c r="F164" s="220" t="str">
        <f>IFERROR(__xludf.DUMMYFUNCTION("""COMPUTED_VALUE"""),"MPG-061125001 - PT. MULTIMEDILAB.pdf")</f>
        <v>MPG-061125001 - PT. MULTIMEDILAB.pdf</v>
      </c>
      <c r="G164" s="73">
        <f>IFERROR(__xludf.DUMMYFUNCTION("""COMPUTED_VALUE"""),45968.0)</f>
        <v>45968</v>
      </c>
      <c r="H164" s="59"/>
      <c r="I164" s="24">
        <f>IFERROR(__xludf.DUMMYFUNCTION("""COMPUTED_VALUE"""),6156000.0)</f>
        <v>6156000</v>
      </c>
      <c r="J164" s="227">
        <f>IFERROR(__xludf.DUMMYFUNCTION("""COMPUTED_VALUE"""),677160.0)</f>
        <v>677160</v>
      </c>
      <c r="K164" s="228"/>
      <c r="L164" s="229">
        <f>IFERROR(__xludf.DUMMYFUNCTION("""COMPUTED_VALUE"""),6833160.0)</f>
        <v>6833160</v>
      </c>
      <c r="M164" s="251">
        <v>45967.0</v>
      </c>
      <c r="N164" s="205" t="s">
        <v>1138</v>
      </c>
      <c r="O164" s="199">
        <f t="shared" si="8"/>
        <v>6833160</v>
      </c>
      <c r="P164" s="253">
        <v>45967.0</v>
      </c>
      <c r="Q164" s="222"/>
      <c r="R164" s="199">
        <f t="shared" si="3"/>
        <v>0</v>
      </c>
      <c r="S164" s="200"/>
      <c r="T164" s="201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</row>
    <row r="165" ht="15.75" hidden="1" customHeight="1">
      <c r="A165" s="190"/>
      <c r="B165" s="190"/>
      <c r="C165" s="60" t="str">
        <f>IFERROR(__xludf.DUMMYFUNCTION("""COMPUTED_VALUE"""),"Cashback Dinkes Tasik")</f>
        <v>Cashback Dinkes Tasik</v>
      </c>
      <c r="D165" s="73"/>
      <c r="E165" s="221"/>
      <c r="F165" s="73"/>
      <c r="G165" s="73">
        <f>IFERROR(__xludf.DUMMYFUNCTION("""COMPUTED_VALUE"""),45968.0)</f>
        <v>45968</v>
      </c>
      <c r="H165" s="59"/>
      <c r="I165" s="24">
        <f>IFERROR(__xludf.DUMMYFUNCTION("""COMPUTED_VALUE"""),1.4439E7)</f>
        <v>14439000</v>
      </c>
      <c r="J165" s="227"/>
      <c r="K165" s="228"/>
      <c r="L165" s="229">
        <f>IFERROR(__xludf.DUMMYFUNCTION("""COMPUTED_VALUE"""),1.4439E7)</f>
        <v>14439000</v>
      </c>
      <c r="M165" s="254">
        <v>45968.0</v>
      </c>
      <c r="N165" s="205" t="s">
        <v>1138</v>
      </c>
      <c r="O165" s="199">
        <f t="shared" si="8"/>
        <v>14439000</v>
      </c>
      <c r="P165" s="253">
        <v>45968.0</v>
      </c>
      <c r="Q165" s="222"/>
      <c r="R165" s="199">
        <f t="shared" si="3"/>
        <v>0</v>
      </c>
      <c r="S165" s="200"/>
      <c r="T165" s="201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</row>
    <row r="166" ht="15.75" hidden="1" customHeight="1">
      <c r="A166" s="190"/>
      <c r="B166" s="190"/>
      <c r="C166" s="60" t="str">
        <f>IFERROR(__xludf.DUMMYFUNCTION("""COMPUTED_VALUE"""),"Reimburse ops yoga 7 nov")</f>
        <v>Reimburse ops yoga 7 nov</v>
      </c>
      <c r="D166" s="73"/>
      <c r="E166" s="221"/>
      <c r="F166" s="73"/>
      <c r="G166" s="73">
        <f>IFERROR(__xludf.DUMMYFUNCTION("""COMPUTED_VALUE"""),45968.0)</f>
        <v>45968</v>
      </c>
      <c r="H166" s="59"/>
      <c r="I166" s="24">
        <f>IFERROR(__xludf.DUMMYFUNCTION("""COMPUTED_VALUE"""),405000.0)</f>
        <v>405000</v>
      </c>
      <c r="J166" s="227"/>
      <c r="K166" s="228"/>
      <c r="L166" s="229">
        <f>IFERROR(__xludf.DUMMYFUNCTION("""COMPUTED_VALUE"""),405000.0)</f>
        <v>405000</v>
      </c>
      <c r="M166" s="254">
        <v>45968.0</v>
      </c>
      <c r="N166" s="205" t="s">
        <v>1138</v>
      </c>
      <c r="O166" s="199">
        <f t="shared" si="8"/>
        <v>405000</v>
      </c>
      <c r="P166" s="253">
        <v>45968.0</v>
      </c>
      <c r="Q166" s="222"/>
      <c r="R166" s="199">
        <f t="shared" si="3"/>
        <v>0</v>
      </c>
      <c r="S166" s="200"/>
      <c r="T166" s="201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</row>
    <row r="167" ht="15.75" hidden="1" customHeight="1">
      <c r="A167" s="190"/>
      <c r="B167" s="190"/>
      <c r="C167" s="60" t="str">
        <f>IFERROR(__xludf.DUMMYFUNCTION("""COMPUTED_VALUE"""),"Reimburse ops ali 7 nov")</f>
        <v>Reimburse ops ali 7 nov</v>
      </c>
      <c r="D167" s="73"/>
      <c r="E167" s="221"/>
      <c r="F167" s="73"/>
      <c r="G167" s="73">
        <f>IFERROR(__xludf.DUMMYFUNCTION("""COMPUTED_VALUE"""),45968.0)</f>
        <v>45968</v>
      </c>
      <c r="H167" s="59"/>
      <c r="I167" s="24">
        <f>IFERROR(__xludf.DUMMYFUNCTION("""COMPUTED_VALUE"""),542000.0)</f>
        <v>542000</v>
      </c>
      <c r="J167" s="227"/>
      <c r="K167" s="228"/>
      <c r="L167" s="229">
        <f>IFERROR(__xludf.DUMMYFUNCTION("""COMPUTED_VALUE"""),542000.0)</f>
        <v>542000</v>
      </c>
      <c r="M167" s="254">
        <v>45968.0</v>
      </c>
      <c r="N167" s="205" t="s">
        <v>1138</v>
      </c>
      <c r="O167" s="199">
        <f t="shared" si="8"/>
        <v>542000</v>
      </c>
      <c r="P167" s="254">
        <v>45968.0</v>
      </c>
      <c r="Q167" s="222"/>
      <c r="R167" s="199">
        <f t="shared" si="3"/>
        <v>0</v>
      </c>
      <c r="S167" s="200"/>
      <c r="T167" s="201"/>
      <c r="U167" s="48"/>
      <c r="V167" s="46" t="s">
        <v>1155</v>
      </c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</row>
    <row r="168" ht="15.75" hidden="1" customHeight="1">
      <c r="A168" s="190"/>
      <c r="B168" s="190"/>
      <c r="C168" s="60" t="str">
        <f>IFERROR(__xludf.DUMMYFUNCTION("""COMPUTED_VALUE"""),"Pembelian Pembersih Lantai (pkm gandoang)")</f>
        <v>Pembelian Pembersih Lantai (pkm gandoang)</v>
      </c>
      <c r="D168" s="73"/>
      <c r="E168" s="219" t="str">
        <f>IFERROR(__xludf.DUMMYFUNCTION("""COMPUTED_VALUE"""),"SP Gandoang (Percepatan).pdf")</f>
        <v>SP Gandoang (Percepatan).pdf</v>
      </c>
      <c r="F168" s="73"/>
      <c r="G168" s="73">
        <f>IFERROR(__xludf.DUMMYFUNCTION("""COMPUTED_VALUE"""),45972.0)</f>
        <v>45972</v>
      </c>
      <c r="H168" s="59"/>
      <c r="I168" s="24">
        <f>IFERROR(__xludf.DUMMYFUNCTION("""COMPUTED_VALUE"""),2203000.0)</f>
        <v>2203000</v>
      </c>
      <c r="J168" s="227"/>
      <c r="K168" s="228"/>
      <c r="L168" s="229">
        <f>IFERROR(__xludf.DUMMYFUNCTION("""COMPUTED_VALUE"""),2203000.0)</f>
        <v>2203000</v>
      </c>
      <c r="M168" s="254">
        <v>45968.0</v>
      </c>
      <c r="N168" s="205" t="s">
        <v>1138</v>
      </c>
      <c r="O168" s="199">
        <f t="shared" si="8"/>
        <v>2203000</v>
      </c>
      <c r="P168" s="253">
        <v>45968.0</v>
      </c>
      <c r="Q168" s="222"/>
      <c r="R168" s="199">
        <f t="shared" si="3"/>
        <v>0</v>
      </c>
      <c r="S168" s="200"/>
      <c r="T168" s="201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</row>
    <row r="169" ht="15.75" hidden="1" customHeight="1">
      <c r="A169" s="190"/>
      <c r="B169" s="190"/>
      <c r="C169" s="60" t="str">
        <f>IFERROR(__xludf.DUMMYFUNCTION("""COMPUTED_VALUE"""),"Pembelian Pembersih Toilet (pkm gandoang)")</f>
        <v>Pembelian Pembersih Toilet (pkm gandoang)</v>
      </c>
      <c r="D169" s="73"/>
      <c r="E169" s="219" t="str">
        <f>IFERROR(__xludf.DUMMYFUNCTION("""COMPUTED_VALUE"""),"SP Gandoang (Percepatan).pdf")</f>
        <v>SP Gandoang (Percepatan).pdf</v>
      </c>
      <c r="F169" s="73"/>
      <c r="G169" s="73">
        <f>IFERROR(__xludf.DUMMYFUNCTION("""COMPUTED_VALUE"""),45972.0)</f>
        <v>45972</v>
      </c>
      <c r="H169" s="59"/>
      <c r="I169" s="24">
        <f>IFERROR(__xludf.DUMMYFUNCTION("""COMPUTED_VALUE"""),499458.0)</f>
        <v>499458</v>
      </c>
      <c r="J169" s="227"/>
      <c r="K169" s="228"/>
      <c r="L169" s="229">
        <f>IFERROR(__xludf.DUMMYFUNCTION("""COMPUTED_VALUE"""),499458.0)</f>
        <v>499458</v>
      </c>
      <c r="M169" s="254">
        <v>45972.0</v>
      </c>
      <c r="N169" s="205" t="s">
        <v>1138</v>
      </c>
      <c r="O169" s="199">
        <f t="shared" si="8"/>
        <v>499458</v>
      </c>
      <c r="P169" s="253">
        <v>45972.0</v>
      </c>
      <c r="Q169" s="222"/>
      <c r="R169" s="199">
        <f t="shared" si="3"/>
        <v>0</v>
      </c>
      <c r="S169" s="200"/>
      <c r="T169" s="201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</row>
    <row r="170" ht="15.75" hidden="1" customHeight="1">
      <c r="A170" s="190"/>
      <c r="B170" s="190"/>
      <c r="C170" s="60" t="str">
        <f>IFERROR(__xludf.DUMMYFUNCTION("""COMPUTED_VALUE"""),"Pembelian Pengharum Ruangan (Pkm Gandoang)")</f>
        <v>Pembelian Pengharum Ruangan (Pkm Gandoang)</v>
      </c>
      <c r="D170" s="73"/>
      <c r="E170" s="219" t="str">
        <f>IFERROR(__xludf.DUMMYFUNCTION("""COMPUTED_VALUE"""),"SP Gandoang (Percepatan).pdf")</f>
        <v>SP Gandoang (Percepatan).pdf</v>
      </c>
      <c r="F170" s="73"/>
      <c r="G170" s="73">
        <f>IFERROR(__xludf.DUMMYFUNCTION("""COMPUTED_VALUE"""),45972.0)</f>
        <v>45972</v>
      </c>
      <c r="H170" s="59"/>
      <c r="I170" s="24">
        <f>IFERROR(__xludf.DUMMYFUNCTION("""COMPUTED_VALUE"""),107864.0)</f>
        <v>107864</v>
      </c>
      <c r="J170" s="227"/>
      <c r="K170" s="228"/>
      <c r="L170" s="229">
        <f>IFERROR(__xludf.DUMMYFUNCTION("""COMPUTED_VALUE"""),107864.0)</f>
        <v>107864</v>
      </c>
      <c r="M170" s="254">
        <v>45972.0</v>
      </c>
      <c r="N170" s="205" t="s">
        <v>1138</v>
      </c>
      <c r="O170" s="199">
        <f t="shared" si="8"/>
        <v>107864</v>
      </c>
      <c r="P170" s="253">
        <v>45972.0</v>
      </c>
      <c r="Q170" s="222"/>
      <c r="R170" s="199">
        <f t="shared" si="3"/>
        <v>0</v>
      </c>
      <c r="S170" s="200"/>
      <c r="T170" s="201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</row>
    <row r="171" ht="15.75" hidden="1" customHeight="1">
      <c r="A171" s="190"/>
      <c r="B171" s="190"/>
      <c r="C171" s="60" t="str">
        <f>IFERROR(__xludf.DUMMYFUNCTION("""COMPUTED_VALUE"""),"Pembayaran Eranya Mp (periode okt)")</f>
        <v>Pembayaran Eranya Mp (periode okt)</v>
      </c>
      <c r="D171" s="73"/>
      <c r="E171" s="219" t="str">
        <f>IFERROR(__xludf.DUMMYFUNCTION("""COMPUTED_VALUE"""),"Eranya MP (periode okt).pdf")</f>
        <v>Eranya MP (periode okt).pdf</v>
      </c>
      <c r="F171" s="73"/>
      <c r="G171" s="73">
        <f>IFERROR(__xludf.DUMMYFUNCTION("""COMPUTED_VALUE"""),45972.0)</f>
        <v>45972</v>
      </c>
      <c r="H171" s="59"/>
      <c r="I171" s="24">
        <f>IFERROR(__xludf.DUMMYFUNCTION("""COMPUTED_VALUE"""),8754812.0)</f>
        <v>8754812</v>
      </c>
      <c r="J171" s="227">
        <f>IFERROR(__xludf.DUMMYFUNCTION("""COMPUTED_VALUE"""),963029.0)</f>
        <v>963029</v>
      </c>
      <c r="K171" s="227">
        <f>IFERROR(__xludf.DUMMYFUNCTION("""COMPUTED_VALUE"""),175096.0)</f>
        <v>175096</v>
      </c>
      <c r="L171" s="229">
        <f>IFERROR(__xludf.DUMMYFUNCTION("""COMPUTED_VALUE"""),9542745.0)</f>
        <v>9542745</v>
      </c>
      <c r="M171" s="254">
        <v>45972.0</v>
      </c>
      <c r="N171" s="205" t="s">
        <v>1138</v>
      </c>
      <c r="O171" s="199">
        <f t="shared" si="8"/>
        <v>9542745</v>
      </c>
      <c r="P171" s="253">
        <v>45972.0</v>
      </c>
      <c r="Q171" s="222"/>
      <c r="R171" s="199">
        <f t="shared" si="3"/>
        <v>0</v>
      </c>
      <c r="S171" s="200"/>
      <c r="T171" s="201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</row>
    <row r="172" ht="15.75" hidden="1" customHeight="1">
      <c r="A172" s="190"/>
      <c r="B172" s="190" t="str">
        <f>IFERROR(__xludf.DUMMYFUNCTION("""COMPUTED_VALUE"""),"PT.SMS")</f>
        <v>PT.SMS</v>
      </c>
      <c r="C172" s="60" t="str">
        <f>IFERROR(__xludf.DUMMYFUNCTION("""COMPUTED_VALUE"""),"Pembayaran pembelanjaan pesanan RSUD Cibinong (Nodin 17)")</f>
        <v>Pembayaran pembelanjaan pesanan RSUD Cibinong (Nodin 17)</v>
      </c>
      <c r="D172" s="73"/>
      <c r="E172" s="219" t="str">
        <f>IFERROR(__xludf.DUMMYFUNCTION("""COMPUTED_VALUE"""),"Nodin 17 RSUD Cibinong.pdf")</f>
        <v>Nodin 17 RSUD Cibinong.pdf</v>
      </c>
      <c r="F172" s="73"/>
      <c r="G172" s="73"/>
      <c r="H172" s="59"/>
      <c r="I172" s="24">
        <f>IFERROR(__xludf.DUMMYFUNCTION("""COMPUTED_VALUE"""),1.311351E7)</f>
        <v>13113510</v>
      </c>
      <c r="J172" s="227">
        <f>IFERROR(__xludf.DUMMYFUNCTION("""COMPUTED_VALUE"""),1442496.0)</f>
        <v>1442496</v>
      </c>
      <c r="K172" s="228"/>
      <c r="L172" s="229">
        <f>IFERROR(__xludf.DUMMYFUNCTION("""COMPUTED_VALUE"""),1.4556006E7)</f>
        <v>14556006</v>
      </c>
      <c r="M172" s="254">
        <v>45975.0</v>
      </c>
      <c r="N172" s="205" t="s">
        <v>1138</v>
      </c>
      <c r="O172" s="199">
        <f t="shared" si="8"/>
        <v>14556006</v>
      </c>
      <c r="P172" s="253">
        <v>45975.0</v>
      </c>
      <c r="Q172" s="250">
        <v>2500.0</v>
      </c>
      <c r="R172" s="196">
        <f t="shared" si="3"/>
        <v>0</v>
      </c>
      <c r="S172" s="200"/>
      <c r="T172" s="201"/>
      <c r="U172" s="48"/>
      <c r="V172" s="46" t="s">
        <v>1155</v>
      </c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</row>
    <row r="173" ht="15.75" hidden="1" customHeight="1">
      <c r="A173" s="190"/>
      <c r="B173" s="190" t="str">
        <f>IFERROR(__xludf.DUMMYFUNCTION("""COMPUTED_VALUE"""),"PT.SMS")</f>
        <v>PT.SMS</v>
      </c>
      <c r="C173" s="60" t="str">
        <f>IFERROR(__xludf.DUMMYFUNCTION("""COMPUTED_VALUE"""),"Pembayaran pembelanjaan pesanan RSUD Cibinong (Nodin 18)")</f>
        <v>Pembayaran pembelanjaan pesanan RSUD Cibinong (Nodin 18)</v>
      </c>
      <c r="D173" s="73"/>
      <c r="E173" s="219" t="str">
        <f>IFERROR(__xludf.DUMMYFUNCTION("""COMPUTED_VALUE"""),"Nodin 18 RSUD Cibinong.pdf")</f>
        <v>Nodin 18 RSUD Cibinong.pdf</v>
      </c>
      <c r="F173" s="73"/>
      <c r="G173" s="73"/>
      <c r="H173" s="59"/>
      <c r="I173" s="24">
        <f>IFERROR(__xludf.DUMMYFUNCTION("""COMPUTED_VALUE"""),1.26405E7)</f>
        <v>12640500</v>
      </c>
      <c r="J173" s="227">
        <f>IFERROR(__xludf.DUMMYFUNCTION("""COMPUTED_VALUE"""),1390455.0)</f>
        <v>1390455</v>
      </c>
      <c r="K173" s="228"/>
      <c r="L173" s="229">
        <f>IFERROR(__xludf.DUMMYFUNCTION("""COMPUTED_VALUE"""),1.4030955E7)</f>
        <v>14030955</v>
      </c>
      <c r="M173" s="254">
        <v>45975.0</v>
      </c>
      <c r="N173" s="205" t="s">
        <v>1138</v>
      </c>
      <c r="O173" s="199">
        <f t="shared" si="8"/>
        <v>14030955</v>
      </c>
      <c r="P173" s="253">
        <v>45975.0</v>
      </c>
      <c r="Q173" s="250">
        <v>2500.0</v>
      </c>
      <c r="R173" s="199">
        <f t="shared" si="3"/>
        <v>0</v>
      </c>
      <c r="S173" s="200"/>
      <c r="T173" s="201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</row>
    <row r="174" ht="15.75" hidden="1" customHeight="1">
      <c r="A174" s="190"/>
      <c r="B174" s="190"/>
      <c r="C174" s="60" t="str">
        <f>IFERROR(__xludf.DUMMYFUNCTION("""COMPUTED_VALUE"""),"Pemebelian Ethyl Cloride (pkm ciangsana)")</f>
        <v>Pemebelian Ethyl Cloride (pkm ciangsana)</v>
      </c>
      <c r="D174" s="73"/>
      <c r="E174" s="219" t="str">
        <f>IFERROR(__xludf.DUMMYFUNCTION("""COMPUTED_VALUE"""),"surat-pesanan-EP-Ciangsana-01K9VH9GNH2JE65Z93FG0NNK13 PKM Ciangsana.pdf")</f>
        <v>surat-pesanan-EP-Ciangsana-01K9VH9GNH2JE65Z93FG0NNK13 PKM Ciangsana.pdf</v>
      </c>
      <c r="F174" s="73"/>
      <c r="G174" s="73">
        <f>IFERROR(__xludf.DUMMYFUNCTION("""COMPUTED_VALUE"""),45975.0)</f>
        <v>45975</v>
      </c>
      <c r="H174" s="59"/>
      <c r="I174" s="24">
        <f>IFERROR(__xludf.DUMMYFUNCTION("""COMPUTED_VALUE"""),1057500.0)</f>
        <v>1057500</v>
      </c>
      <c r="J174" s="227"/>
      <c r="K174" s="228"/>
      <c r="L174" s="229">
        <f>IFERROR(__xludf.DUMMYFUNCTION("""COMPUTED_VALUE"""),1057500.0)</f>
        <v>1057500</v>
      </c>
      <c r="M174" s="254">
        <v>45975.0</v>
      </c>
      <c r="N174" s="205" t="s">
        <v>1138</v>
      </c>
      <c r="O174" s="199">
        <f t="shared" si="8"/>
        <v>1057500</v>
      </c>
      <c r="P174" s="253">
        <v>45975.0</v>
      </c>
      <c r="Q174" s="222"/>
      <c r="R174" s="199">
        <f t="shared" si="3"/>
        <v>0</v>
      </c>
      <c r="S174" s="200"/>
      <c r="T174" s="201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</row>
    <row r="175" ht="15.75" hidden="1" customHeight="1">
      <c r="A175" s="190"/>
      <c r="B175" s="190"/>
      <c r="C175" s="60" t="str">
        <f>IFERROR(__xludf.DUMMYFUNCTION("""COMPUTED_VALUE"""),"Pembelian Glass Lomoner (pkm ciangsana)")</f>
        <v>Pembelian Glass Lomoner (pkm ciangsana)</v>
      </c>
      <c r="D175" s="73"/>
      <c r="E175" s="219" t="str">
        <f>IFERROR(__xludf.DUMMYFUNCTION("""COMPUTED_VALUE"""),"surat-pesanan-EP-Ciangsana-01K9VH9GNH2JE65Z93FG0NNK13 PKM Ciangsana.pdf")</f>
        <v>surat-pesanan-EP-Ciangsana-01K9VH9GNH2JE65Z93FG0NNK13 PKM Ciangsana.pdf</v>
      </c>
      <c r="F175" s="73"/>
      <c r="G175" s="73">
        <f>IFERROR(__xludf.DUMMYFUNCTION("""COMPUTED_VALUE"""),45975.0)</f>
        <v>45975</v>
      </c>
      <c r="H175" s="59"/>
      <c r="I175" s="24">
        <f>IFERROR(__xludf.DUMMYFUNCTION("""COMPUTED_VALUE"""),327000.0)</f>
        <v>327000</v>
      </c>
      <c r="J175" s="227"/>
      <c r="K175" s="228"/>
      <c r="L175" s="229">
        <f>IFERROR(__xludf.DUMMYFUNCTION("""COMPUTED_VALUE"""),327000.0)</f>
        <v>327000</v>
      </c>
      <c r="M175" s="254">
        <v>45975.0</v>
      </c>
      <c r="N175" s="205" t="s">
        <v>1138</v>
      </c>
      <c r="O175" s="199">
        <f t="shared" si="8"/>
        <v>327000</v>
      </c>
      <c r="P175" s="253">
        <v>45975.0</v>
      </c>
      <c r="Q175" s="222"/>
      <c r="R175" s="199">
        <f t="shared" si="3"/>
        <v>0</v>
      </c>
      <c r="S175" s="200"/>
      <c r="T175" s="201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</row>
    <row r="176" ht="15.75" hidden="1" customHeight="1">
      <c r="A176" s="190"/>
      <c r="B176" s="190" t="str">
        <f>IFERROR(__xludf.DUMMYFUNCTION("""COMPUTED_VALUE"""),"NBD")</f>
        <v>NBD</v>
      </c>
      <c r="C176" s="60" t="str">
        <f>IFERROR(__xludf.DUMMYFUNCTION("""COMPUTED_VALUE"""),"Pembelian DS-DNA @50T")</f>
        <v>Pembelian DS-DNA @50T</v>
      </c>
      <c r="D176" s="73"/>
      <c r="E176" s="219" t="str">
        <f>IFERROR(__xludf.DUMMYFUNCTION("""COMPUTED_VALUE"""),"Surat Pesanan CV.Meyda.pdf")</f>
        <v>Surat Pesanan CV.Meyda.pdf</v>
      </c>
      <c r="F176" s="220" t="str">
        <f>IFERROR(__xludf.DUMMYFUNCTION("""COMPUTED_VALUE"""),"MPG-131125005 - PT.NBD.pdf")</f>
        <v>MPG-131125005 - PT.NBD.pdf</v>
      </c>
      <c r="G176" s="73">
        <f>IFERROR(__xludf.DUMMYFUNCTION("""COMPUTED_VALUE"""),45975.0)</f>
        <v>45975</v>
      </c>
      <c r="H176" s="59"/>
      <c r="I176" s="24">
        <f>IFERROR(__xludf.DUMMYFUNCTION("""COMPUTED_VALUE"""),1.02E7)</f>
        <v>10200000</v>
      </c>
      <c r="J176" s="227">
        <f>IFERROR(__xludf.DUMMYFUNCTION("""COMPUTED_VALUE"""),1122000.0)</f>
        <v>1122000</v>
      </c>
      <c r="K176" s="228"/>
      <c r="L176" s="229">
        <f>IFERROR(__xludf.DUMMYFUNCTION("""COMPUTED_VALUE"""),1.1322E7)</f>
        <v>11322000</v>
      </c>
      <c r="M176" s="254">
        <v>45975.0</v>
      </c>
      <c r="N176" s="205" t="s">
        <v>1138</v>
      </c>
      <c r="O176" s="199">
        <f t="shared" si="8"/>
        <v>11322000</v>
      </c>
      <c r="P176" s="253">
        <v>45975.0</v>
      </c>
      <c r="Q176" s="222"/>
      <c r="R176" s="199">
        <f t="shared" si="3"/>
        <v>0</v>
      </c>
      <c r="S176" s="200"/>
      <c r="T176" s="201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</row>
    <row r="177" ht="15.75" customHeight="1">
      <c r="A177" s="190"/>
      <c r="B177" s="190" t="str">
        <f>IFERROR(__xludf.DUMMYFUNCTION("""COMPUTED_VALUE"""),"MBC")</f>
        <v>MBC</v>
      </c>
      <c r="C177" s="60" t="str">
        <f>IFERROR(__xludf.DUMMYFUNCTION("""COMPUTED_VALUE"""),"Pembelian Strip HB (Pkm cibening)")</f>
        <v>Pembelian Strip HB (Pkm cibening)</v>
      </c>
      <c r="D177" s="73"/>
      <c r="E177" s="219" t="str">
        <f>IFERROR(__xludf.DUMMYFUNCTION("""COMPUTED_VALUE"""),"surat-pesanan-EP-Strip HB-01K9RY3MBC4XEEPB1P3J2NQWS4 Pkm Cibening Hb Mission.pdf")</f>
        <v>surat-pesanan-EP-Strip HB-01K9RY3MBC4XEEPB1P3J2NQWS4 Pkm Cibening Hb Mission.pdf</v>
      </c>
      <c r="F177" s="220" t="str">
        <f>IFERROR(__xludf.DUMMYFUNCTION("""COMPUTED_VALUE"""),"MPG-131125004 - PT.MBC (Strip HB).pdf")</f>
        <v>MPG-131125004 - PT.MBC (Strip HB).pdf</v>
      </c>
      <c r="G177" s="73">
        <f>IFERROR(__xludf.DUMMYFUNCTION("""COMPUTED_VALUE"""),45975.0)</f>
        <v>45975</v>
      </c>
      <c r="H177" s="59"/>
      <c r="I177" s="24">
        <f>IFERROR(__xludf.DUMMYFUNCTION("""COMPUTED_VALUE"""),8142210.0)</f>
        <v>8142210</v>
      </c>
      <c r="J177" s="227">
        <f>IFERROR(__xludf.DUMMYFUNCTION("""COMPUTED_VALUE"""),895643.0)</f>
        <v>895643</v>
      </c>
      <c r="K177" s="228"/>
      <c r="L177" s="229">
        <f>IFERROR(__xludf.DUMMYFUNCTION("""COMPUTED_VALUE"""),9037853.0)</f>
        <v>9037853</v>
      </c>
      <c r="M177" s="255"/>
      <c r="N177" s="205" t="s">
        <v>1138</v>
      </c>
      <c r="O177" s="199"/>
      <c r="P177" s="217"/>
      <c r="Q177" s="222"/>
      <c r="R177" s="199">
        <f t="shared" si="3"/>
        <v>9037853</v>
      </c>
      <c r="S177" s="200"/>
      <c r="T177" s="201"/>
      <c r="U177" s="48"/>
      <c r="V177" s="46" t="s">
        <v>1156</v>
      </c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</row>
    <row r="178" ht="15.75" hidden="1" customHeight="1">
      <c r="A178" s="190"/>
      <c r="B178" s="190" t="str">
        <f>IFERROR(__xludf.DUMMYFUNCTION("""COMPUTED_VALUE"""),"Whira Phitoe")</f>
        <v>Whira Phitoe</v>
      </c>
      <c r="C178" s="60" t="str">
        <f>IFERROR(__xludf.DUMMYFUNCTION("""COMPUTED_VALUE"""),"Pembelian Ureum (dinkes tasik)")</f>
        <v>Pembelian Ureum (dinkes tasik)</v>
      </c>
      <c r="D178" s="73"/>
      <c r="E178" s="219" t="str">
        <f>IFERROR(__xludf.DUMMYFUNCTION("""COMPUTED_VALUE"""),"Surat Pesanan Dinkes Tasik (7).pdf")</f>
        <v>Surat Pesanan Dinkes Tasik (7).pdf</v>
      </c>
      <c r="F178" s="220" t="str">
        <f>IFERROR(__xludf.DUMMYFUNCTION("""COMPUTED_VALUE"""),"MPG-131125006 - PT. WHIRA PITOE.pdf")</f>
        <v>MPG-131125006 - PT. WHIRA PITOE.pdf</v>
      </c>
      <c r="G178" s="73">
        <f>IFERROR(__xludf.DUMMYFUNCTION("""COMPUTED_VALUE"""),45975.0)</f>
        <v>45975</v>
      </c>
      <c r="H178" s="59"/>
      <c r="I178" s="24">
        <f>IFERROR(__xludf.DUMMYFUNCTION("""COMPUTED_VALUE"""),780000.0)</f>
        <v>780000</v>
      </c>
      <c r="J178" s="227">
        <f>IFERROR(__xludf.DUMMYFUNCTION("""COMPUTED_VALUE"""),85800.0)</f>
        <v>85800</v>
      </c>
      <c r="K178" s="228"/>
      <c r="L178" s="229">
        <f>IFERROR(__xludf.DUMMYFUNCTION("""COMPUTED_VALUE"""),865800.0)</f>
        <v>865800</v>
      </c>
      <c r="M178" s="254">
        <v>45978.0</v>
      </c>
      <c r="N178" s="205" t="s">
        <v>1138</v>
      </c>
      <c r="O178" s="199">
        <f t="shared" ref="O178:O192" si="9">L178</f>
        <v>865800</v>
      </c>
      <c r="P178" s="253">
        <v>45978.0</v>
      </c>
      <c r="Q178" s="250">
        <v>2500.0</v>
      </c>
      <c r="R178" s="199">
        <f t="shared" si="3"/>
        <v>0</v>
      </c>
      <c r="S178" s="200"/>
      <c r="T178" s="201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</row>
    <row r="179" ht="15.75" hidden="1" customHeight="1">
      <c r="A179" s="190"/>
      <c r="B179" s="190" t="str">
        <f>IFERROR(__xludf.DUMMYFUNCTION("""COMPUTED_VALUE"""),"BSM")</f>
        <v>BSM</v>
      </c>
      <c r="C179" s="60" t="str">
        <f>IFERROR(__xludf.DUMMYFUNCTION("""COMPUTED_VALUE"""),"Pembelian urine 10p (dinkes tasik)")</f>
        <v>Pembelian urine 10p (dinkes tasik)</v>
      </c>
      <c r="D179" s="73"/>
      <c r="E179" s="219" t="str">
        <f>IFERROR(__xludf.DUMMYFUNCTION("""COMPUTED_VALUE"""),"Surat Pesanan Dinkes Tasik (7).pdf")</f>
        <v>Surat Pesanan Dinkes Tasik (7).pdf</v>
      </c>
      <c r="F179" s="220" t="str">
        <f>IFERROR(__xludf.DUMMYFUNCTION("""COMPUTED_VALUE"""),"MPG-141125007 - PT. BSM (Dinkes Tasik PO 7).pdf")</f>
        <v>MPG-141125007 - PT. BSM (Dinkes Tasik PO 7).pdf</v>
      </c>
      <c r="G179" s="73">
        <f>IFERROR(__xludf.DUMMYFUNCTION("""COMPUTED_VALUE"""),45975.0)</f>
        <v>45975</v>
      </c>
      <c r="H179" s="59"/>
      <c r="I179" s="24">
        <f>IFERROR(__xludf.DUMMYFUNCTION("""COMPUTED_VALUE"""),270270.0)</f>
        <v>270270</v>
      </c>
      <c r="J179" s="227">
        <f>IFERROR(__xludf.DUMMYFUNCTION("""COMPUTED_VALUE"""),29730.0)</f>
        <v>29730</v>
      </c>
      <c r="K179" s="228"/>
      <c r="L179" s="229">
        <f>IFERROR(__xludf.DUMMYFUNCTION("""COMPUTED_VALUE"""),300000.0)</f>
        <v>300000</v>
      </c>
      <c r="M179" s="254">
        <v>45978.0</v>
      </c>
      <c r="N179" s="205" t="s">
        <v>1138</v>
      </c>
      <c r="O179" s="199">
        <f t="shared" si="9"/>
        <v>300000</v>
      </c>
      <c r="P179" s="253">
        <v>45978.0</v>
      </c>
      <c r="Q179" s="250">
        <v>2500.0</v>
      </c>
      <c r="R179" s="199">
        <f t="shared" si="3"/>
        <v>0</v>
      </c>
      <c r="S179" s="200"/>
      <c r="T179" s="201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</row>
    <row r="180" ht="15.75" hidden="1" customHeight="1">
      <c r="A180" s="190"/>
      <c r="B180" s="190"/>
      <c r="C180" s="60" t="str">
        <f>IFERROR(__xludf.DUMMYFUNCTION("""COMPUTED_VALUE"""),"Pembelian sarung tangan (dinkes tasik)")</f>
        <v>Pembelian sarung tangan (dinkes tasik)</v>
      </c>
      <c r="D180" s="73"/>
      <c r="E180" s="219" t="str">
        <f>IFERROR(__xludf.DUMMYFUNCTION("""COMPUTED_VALUE"""),"Surat Pesanan Dinkes Tasik (7).pdf")</f>
        <v>Surat Pesanan Dinkes Tasik (7).pdf</v>
      </c>
      <c r="F180" s="73"/>
      <c r="G180" s="73">
        <f>IFERROR(__xludf.DUMMYFUNCTION("""COMPUTED_VALUE"""),45975.0)</f>
        <v>45975</v>
      </c>
      <c r="H180" s="59"/>
      <c r="I180" s="24">
        <f>IFERROR(__xludf.DUMMYFUNCTION("""COMPUTED_VALUE"""),216500.0)</f>
        <v>216500</v>
      </c>
      <c r="J180" s="227"/>
      <c r="K180" s="228"/>
      <c r="L180" s="229">
        <f>IFERROR(__xludf.DUMMYFUNCTION("""COMPUTED_VALUE"""),216500.0)</f>
        <v>216500</v>
      </c>
      <c r="M180" s="254">
        <v>45978.0</v>
      </c>
      <c r="N180" s="205" t="s">
        <v>1138</v>
      </c>
      <c r="O180" s="199">
        <f t="shared" si="9"/>
        <v>216500</v>
      </c>
      <c r="P180" s="253">
        <v>45978.0</v>
      </c>
      <c r="Q180" s="222"/>
      <c r="R180" s="199">
        <f t="shared" si="3"/>
        <v>0</v>
      </c>
      <c r="S180" s="200"/>
      <c r="T180" s="201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</row>
    <row r="181" ht="15.75" hidden="1" customHeight="1">
      <c r="A181" s="190"/>
      <c r="B181" s="190"/>
      <c r="C181" s="60" t="str">
        <f>IFERROR(__xludf.DUMMYFUNCTION("""COMPUTED_VALUE"""),"Pembelian Fora 6 Glucose (dinkes tasik)")</f>
        <v>Pembelian Fora 6 Glucose (dinkes tasik)</v>
      </c>
      <c r="D181" s="73"/>
      <c r="E181" s="219" t="str">
        <f>IFERROR(__xludf.DUMMYFUNCTION("""COMPUTED_VALUE"""),"Surat Pesanan Dinkes Tasik (7).pdf")</f>
        <v>Surat Pesanan Dinkes Tasik (7).pdf</v>
      </c>
      <c r="F181" s="73"/>
      <c r="G181" s="73">
        <f>IFERROR(__xludf.DUMMYFUNCTION("""COMPUTED_VALUE"""),45975.0)</f>
        <v>45975</v>
      </c>
      <c r="H181" s="59"/>
      <c r="I181" s="24">
        <f>IFERROR(__xludf.DUMMYFUNCTION("""COMPUTED_VALUE"""),321600.0)</f>
        <v>321600</v>
      </c>
      <c r="J181" s="227"/>
      <c r="K181" s="228"/>
      <c r="L181" s="229">
        <f>IFERROR(__xludf.DUMMYFUNCTION("""COMPUTED_VALUE"""),321600.0)</f>
        <v>321600</v>
      </c>
      <c r="M181" s="254">
        <v>45978.0</v>
      </c>
      <c r="N181" s="205" t="s">
        <v>1138</v>
      </c>
      <c r="O181" s="199">
        <f t="shared" si="9"/>
        <v>321600</v>
      </c>
      <c r="P181" s="253">
        <v>45978.0</v>
      </c>
      <c r="Q181" s="222"/>
      <c r="R181" s="199">
        <f t="shared" si="3"/>
        <v>0</v>
      </c>
      <c r="S181" s="200"/>
      <c r="T181" s="201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</row>
    <row r="182" ht="15.75" hidden="1" customHeight="1">
      <c r="A182" s="190"/>
      <c r="B182" s="190"/>
      <c r="C182" s="60" t="str">
        <f>IFERROR(__xludf.DUMMYFUNCTION("""COMPUTED_VALUE"""),"Tagihan Listrik dan Parkir November")</f>
        <v>Tagihan Listrik dan Parkir November</v>
      </c>
      <c r="D182" s="73"/>
      <c r="E182" s="219" t="str">
        <f>IFERROR(__xludf.DUMMYFUNCTION("""COMPUTED_VALUE"""),"Parkir &amp; Listrik gedung november.pdf")</f>
        <v>Parkir &amp; Listrik gedung november.pdf</v>
      </c>
      <c r="F182" s="73"/>
      <c r="G182" s="73">
        <f>IFERROR(__xludf.DUMMYFUNCTION("""COMPUTED_VALUE"""),45978.0)</f>
        <v>45978</v>
      </c>
      <c r="H182" s="59"/>
      <c r="I182" s="24">
        <f>IFERROR(__xludf.DUMMYFUNCTION("""COMPUTED_VALUE"""),5778479.0)</f>
        <v>5778479</v>
      </c>
      <c r="J182" s="227"/>
      <c r="K182" s="228"/>
      <c r="L182" s="229">
        <f>IFERROR(__xludf.DUMMYFUNCTION("""COMPUTED_VALUE"""),5778479.0)</f>
        <v>5778479</v>
      </c>
      <c r="M182" s="254">
        <v>45978.0</v>
      </c>
      <c r="N182" s="205" t="s">
        <v>1138</v>
      </c>
      <c r="O182" s="199">
        <f t="shared" si="9"/>
        <v>5778479</v>
      </c>
      <c r="P182" s="253">
        <v>45978.0</v>
      </c>
      <c r="Q182" s="250">
        <v>2500.0</v>
      </c>
      <c r="R182" s="199">
        <f t="shared" si="3"/>
        <v>0</v>
      </c>
      <c r="S182" s="200"/>
      <c r="T182" s="201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</row>
    <row r="183" ht="15.75" hidden="1" customHeight="1">
      <c r="A183" s="190"/>
      <c r="B183" s="190"/>
      <c r="C183" s="60" t="str">
        <f>IFERROR(__xludf.DUMMYFUNCTION("""COMPUTED_VALUE"""),"Pembelian Tensi Aneroid Standing Manual (Pkm banjarsari)")</f>
        <v>Pembelian Tensi Aneroid Standing Manual (Pkm banjarsari)</v>
      </c>
      <c r="D183" s="73"/>
      <c r="E183" s="219" t="str">
        <f>IFERROR(__xludf.DUMMYFUNCTION("""COMPUTED_VALUE"""),"surat-pesanan-EP-01KA871HQ3S7XB8SQ2A8S5V66Q PKM Banjarsari Tensimeter.pdf")</f>
        <v>surat-pesanan-EP-01KA871HQ3S7XB8SQ2A8S5V66Q PKM Banjarsari Tensimeter.pdf</v>
      </c>
      <c r="F183" s="73"/>
      <c r="G183" s="73">
        <f>IFERROR(__xludf.DUMMYFUNCTION("""COMPUTED_VALUE"""),45979.0)</f>
        <v>45979</v>
      </c>
      <c r="H183" s="59"/>
      <c r="I183" s="24">
        <f>IFERROR(__xludf.DUMMYFUNCTION("""COMPUTED_VALUE"""),3452000.0)</f>
        <v>3452000</v>
      </c>
      <c r="J183" s="227"/>
      <c r="K183" s="228"/>
      <c r="L183" s="229">
        <f>IFERROR(__xludf.DUMMYFUNCTION("""COMPUTED_VALUE"""),3452000.0)</f>
        <v>3452000</v>
      </c>
      <c r="M183" s="254">
        <v>45979.0</v>
      </c>
      <c r="N183" s="205" t="s">
        <v>1138</v>
      </c>
      <c r="O183" s="199">
        <f t="shared" si="9"/>
        <v>3452000</v>
      </c>
      <c r="P183" s="253">
        <v>45979.0</v>
      </c>
      <c r="Q183" s="222"/>
      <c r="R183" s="199">
        <f t="shared" si="3"/>
        <v>0</v>
      </c>
      <c r="S183" s="200"/>
      <c r="T183" s="201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</row>
    <row r="184" ht="15.75" hidden="1" customHeight="1">
      <c r="A184" s="190"/>
      <c r="B184" s="190"/>
      <c r="C184" s="60" t="str">
        <f>IFERROR(__xludf.DUMMYFUNCTION("""COMPUTED_VALUE"""),"Pembelian kardus packing")</f>
        <v>Pembelian kardus packing</v>
      </c>
      <c r="D184" s="73"/>
      <c r="E184" s="221"/>
      <c r="F184" s="73"/>
      <c r="G184" s="73">
        <f>IFERROR(__xludf.DUMMYFUNCTION("""COMPUTED_VALUE"""),45979.0)</f>
        <v>45979</v>
      </c>
      <c r="H184" s="59"/>
      <c r="I184" s="24">
        <f>IFERROR(__xludf.DUMMYFUNCTION("""COMPUTED_VALUE"""),124630.0)</f>
        <v>124630</v>
      </c>
      <c r="J184" s="227"/>
      <c r="K184" s="228"/>
      <c r="L184" s="229">
        <f>IFERROR(__xludf.DUMMYFUNCTION("""COMPUTED_VALUE"""),124630.0)</f>
        <v>124630</v>
      </c>
      <c r="M184" s="254">
        <v>45979.0</v>
      </c>
      <c r="N184" s="205" t="s">
        <v>1138</v>
      </c>
      <c r="O184" s="199">
        <f t="shared" si="9"/>
        <v>124630</v>
      </c>
      <c r="P184" s="253">
        <v>45979.0</v>
      </c>
      <c r="Q184" s="222"/>
      <c r="R184" s="199">
        <f t="shared" si="3"/>
        <v>0</v>
      </c>
      <c r="S184" s="200"/>
      <c r="T184" s="201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</row>
    <row r="185" ht="15.75" hidden="1" customHeight="1">
      <c r="A185" s="190"/>
      <c r="B185" s="190"/>
      <c r="C185" s="60" t="str">
        <f>IFERROR(__xludf.DUMMYFUNCTION("""COMPUTED_VALUE"""),"Cashback PKM Sentul")</f>
        <v>Cashback PKM Sentul</v>
      </c>
      <c r="D185" s="73"/>
      <c r="E185" s="221"/>
      <c r="F185" s="73"/>
      <c r="G185" s="73">
        <f>IFERROR(__xludf.DUMMYFUNCTION("""COMPUTED_VALUE"""),45979.0)</f>
        <v>45979</v>
      </c>
      <c r="H185" s="59"/>
      <c r="I185" s="24">
        <f>IFERROR(__xludf.DUMMYFUNCTION("""COMPUTED_VALUE"""),2121000.0)</f>
        <v>2121000</v>
      </c>
      <c r="J185" s="227"/>
      <c r="K185" s="228"/>
      <c r="L185" s="229">
        <f>IFERROR(__xludf.DUMMYFUNCTION("""COMPUTED_VALUE"""),2121000.0)</f>
        <v>2121000</v>
      </c>
      <c r="M185" s="254">
        <v>45979.0</v>
      </c>
      <c r="N185" s="205" t="s">
        <v>1138</v>
      </c>
      <c r="O185" s="199">
        <f t="shared" si="9"/>
        <v>2121000</v>
      </c>
      <c r="P185" s="253">
        <v>45979.0</v>
      </c>
      <c r="Q185" s="222"/>
      <c r="R185" s="199">
        <f t="shared" si="3"/>
        <v>0</v>
      </c>
      <c r="S185" s="200"/>
      <c r="T185" s="201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</row>
    <row r="186" ht="15.75" hidden="1" customHeight="1">
      <c r="A186" s="190"/>
      <c r="B186" s="190"/>
      <c r="C186" s="60" t="str">
        <f>IFERROR(__xludf.DUMMYFUNCTION("""COMPUTED_VALUE"""),"Top Up Petty Cash")</f>
        <v>Top Up Petty Cash</v>
      </c>
      <c r="D186" s="73"/>
      <c r="E186" s="221"/>
      <c r="F186" s="73"/>
      <c r="G186" s="73">
        <f>IFERROR(__xludf.DUMMYFUNCTION("""COMPUTED_VALUE"""),45979.0)</f>
        <v>45979</v>
      </c>
      <c r="H186" s="59"/>
      <c r="I186" s="24"/>
      <c r="J186" s="227"/>
      <c r="K186" s="228"/>
      <c r="L186" s="229">
        <f>IFERROR(__xludf.DUMMYFUNCTION("""COMPUTED_VALUE"""),5000000.0)</f>
        <v>5000000</v>
      </c>
      <c r="M186" s="254">
        <v>45979.0</v>
      </c>
      <c r="N186" s="205" t="s">
        <v>1138</v>
      </c>
      <c r="O186" s="199">
        <f t="shared" si="9"/>
        <v>5000000</v>
      </c>
      <c r="P186" s="253">
        <v>45979.0</v>
      </c>
      <c r="Q186" s="250">
        <v>2500.0</v>
      </c>
      <c r="R186" s="199">
        <f t="shared" si="3"/>
        <v>0</v>
      </c>
      <c r="S186" s="200"/>
      <c r="T186" s="201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</row>
    <row r="187" ht="15.75" hidden="1" customHeight="1">
      <c r="A187" s="190"/>
      <c r="B187" s="190"/>
      <c r="C187" s="60" t="str">
        <f>IFERROR(__xludf.DUMMYFUNCTION("""COMPUTED_VALUE"""),"Pembelian kertas rim (pkm banjarsari)")</f>
        <v>Pembelian kertas rim (pkm banjarsari)</v>
      </c>
      <c r="D187" s="73"/>
      <c r="E187" s="219" t="str">
        <f>IFERROR(__xludf.DUMMYFUNCTION("""COMPUTED_VALUE"""),"surat-pesanan-EP-01KAAKHMGMWNYCAJFVCJM37RMJ PKM Banjarsari  kertas HVS.pdf")</f>
        <v>surat-pesanan-EP-01KAAKHMGMWNYCAJFVCJM37RMJ PKM Banjarsari  kertas HVS.pdf</v>
      </c>
      <c r="F187" s="73"/>
      <c r="G187" s="73">
        <f>IFERROR(__xludf.DUMMYFUNCTION("""COMPUTED_VALUE"""),45979.0)</f>
        <v>45979</v>
      </c>
      <c r="H187" s="59"/>
      <c r="I187" s="24">
        <f>IFERROR(__xludf.DUMMYFUNCTION("""COMPUTED_VALUE"""),876000.0)</f>
        <v>876000</v>
      </c>
      <c r="J187" s="227"/>
      <c r="K187" s="228"/>
      <c r="L187" s="229">
        <f>IFERROR(__xludf.DUMMYFUNCTION("""COMPUTED_VALUE"""),876000.0)</f>
        <v>876000</v>
      </c>
      <c r="M187" s="254">
        <v>45979.0</v>
      </c>
      <c r="N187" s="205" t="s">
        <v>1138</v>
      </c>
      <c r="O187" s="199">
        <f t="shared" si="9"/>
        <v>876000</v>
      </c>
      <c r="P187" s="253">
        <v>45979.0</v>
      </c>
      <c r="Q187" s="222"/>
      <c r="R187" s="199">
        <f t="shared" si="3"/>
        <v>0</v>
      </c>
      <c r="S187" s="200"/>
      <c r="T187" s="201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</row>
    <row r="188" ht="15.75" hidden="1" customHeight="1">
      <c r="A188" s="190"/>
      <c r="B188" s="190"/>
      <c r="C188" s="60" t="str">
        <f>IFERROR(__xludf.DUMMYFUNCTION("""COMPUTED_VALUE"""),"Sewa Gedung Nov-Jan")</f>
        <v>Sewa Gedung Nov-Jan</v>
      </c>
      <c r="D188" s="73"/>
      <c r="E188" s="221"/>
      <c r="F188" s="73"/>
      <c r="G188" s="73">
        <f>IFERROR(__xludf.DUMMYFUNCTION("""COMPUTED_VALUE"""),45980.0)</f>
        <v>45980</v>
      </c>
      <c r="H188" s="59"/>
      <c r="I188" s="24">
        <f>IFERROR(__xludf.DUMMYFUNCTION("""COMPUTED_VALUE"""),7.875E7)</f>
        <v>78750000</v>
      </c>
      <c r="J188" s="227"/>
      <c r="K188" s="228"/>
      <c r="L188" s="229">
        <f>IFERROR(__xludf.DUMMYFUNCTION("""COMPUTED_VALUE"""),7.875E7)</f>
        <v>78750000</v>
      </c>
      <c r="M188" s="254">
        <v>45981.0</v>
      </c>
      <c r="N188" s="205" t="s">
        <v>1138</v>
      </c>
      <c r="O188" s="199">
        <f t="shared" si="9"/>
        <v>78750000</v>
      </c>
      <c r="P188" s="253">
        <v>45981.0</v>
      </c>
      <c r="Q188" s="250">
        <v>2500.0</v>
      </c>
      <c r="R188" s="199">
        <f t="shared" si="3"/>
        <v>0</v>
      </c>
      <c r="S188" s="200"/>
      <c r="T188" s="201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</row>
    <row r="189" ht="15.75" hidden="1" customHeight="1">
      <c r="A189" s="190"/>
      <c r="B189" s="190"/>
      <c r="C189" s="60" t="str">
        <f>IFERROR(__xludf.DUMMYFUNCTION("""COMPUTED_VALUE"""),"Ops Yoga")</f>
        <v>Ops Yoga</v>
      </c>
      <c r="D189" s="73"/>
      <c r="E189" s="221"/>
      <c r="F189" s="73"/>
      <c r="G189" s="73">
        <f>IFERROR(__xludf.DUMMYFUNCTION("""COMPUTED_VALUE"""),45980.0)</f>
        <v>45980</v>
      </c>
      <c r="H189" s="59"/>
      <c r="I189" s="24">
        <f>IFERROR(__xludf.DUMMYFUNCTION("""COMPUTED_VALUE"""),500000.0)</f>
        <v>500000</v>
      </c>
      <c r="J189" s="227"/>
      <c r="K189" s="228"/>
      <c r="L189" s="229">
        <f>IFERROR(__xludf.DUMMYFUNCTION("""COMPUTED_VALUE"""),500000.0)</f>
        <v>500000</v>
      </c>
      <c r="M189" s="254">
        <v>45981.0</v>
      </c>
      <c r="N189" s="205" t="s">
        <v>1138</v>
      </c>
      <c r="O189" s="199">
        <f t="shared" si="9"/>
        <v>500000</v>
      </c>
      <c r="P189" s="253">
        <v>45981.0</v>
      </c>
      <c r="Q189" s="222"/>
      <c r="R189" s="199">
        <f t="shared" si="3"/>
        <v>0</v>
      </c>
      <c r="S189" s="200"/>
      <c r="T189" s="201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</row>
    <row r="190" ht="15.75" hidden="1" customHeight="1">
      <c r="A190" s="190"/>
      <c r="B190" s="190"/>
      <c r="C190" s="60" t="str">
        <f>IFERROR(__xludf.DUMMYFUNCTION("""COMPUTED_VALUE"""),"Pembelian pesanan rs adjidarmo")</f>
        <v>Pembelian pesanan rs adjidarmo</v>
      </c>
      <c r="D190" s="73"/>
      <c r="E190" s="219" t="str">
        <f>IFERROR(__xludf.DUMMYFUNCTION("""COMPUTED_VALUE"""),"150071025 Rp.8.000.000 SABIL (1).pdf")</f>
        <v>150071025 Rp.8.000.000 SABIL (1).pdf</v>
      </c>
      <c r="F190" s="220" t="str">
        <f>IFERROR(__xludf.DUMMYFUNCTION("""COMPUTED_VALUE"""),"MPG-081025007 - Top Point (Feeding Tube).pdf")</f>
        <v>MPG-081025007 - Top Point (Feeding Tube).pdf</v>
      </c>
      <c r="G190" s="73">
        <f>IFERROR(__xludf.DUMMYFUNCTION("""COMPUTED_VALUE"""),45980.0)</f>
        <v>45980</v>
      </c>
      <c r="H190" s="59"/>
      <c r="I190" s="24">
        <f>IFERROR(__xludf.DUMMYFUNCTION("""COMPUTED_VALUE"""),5378380.0)</f>
        <v>5378380</v>
      </c>
      <c r="J190" s="227">
        <f>IFERROR(__xludf.DUMMYFUNCTION("""COMPUTED_VALUE"""),591662.0)</f>
        <v>591662</v>
      </c>
      <c r="K190" s="228"/>
      <c r="L190" s="229">
        <f>IFERROR(__xludf.DUMMYFUNCTION("""COMPUTED_VALUE"""),5970042.0)</f>
        <v>5970042</v>
      </c>
      <c r="M190" s="254">
        <v>45981.0</v>
      </c>
      <c r="N190" s="205" t="s">
        <v>1138</v>
      </c>
      <c r="O190" s="199">
        <f t="shared" si="9"/>
        <v>5970042</v>
      </c>
      <c r="P190" s="253">
        <v>45981.0</v>
      </c>
      <c r="Q190" s="222"/>
      <c r="R190" s="199">
        <f t="shared" si="3"/>
        <v>0</v>
      </c>
      <c r="S190" s="200"/>
      <c r="T190" s="201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</row>
    <row r="191" ht="15.75" hidden="1" customHeight="1">
      <c r="A191" s="190"/>
      <c r="B191" s="190" t="str">
        <f>IFERROR(__xludf.DUMMYFUNCTION("""COMPUTED_VALUE"""),"Top Point")</f>
        <v>Top Point</v>
      </c>
      <c r="C191" s="60" t="str">
        <f>IFERROR(__xludf.DUMMYFUNCTION("""COMPUTED_VALUE"""),"Pembelian suntikan (pesanan pkm ciangsana)")</f>
        <v>Pembelian suntikan (pesanan pkm ciangsana)</v>
      </c>
      <c r="D191" s="73"/>
      <c r="E191" s="219" t="str">
        <f>IFERROR(__xludf.DUMMYFUNCTION("""COMPUTED_VALUE"""),"surat-pesanan-EP-01KAFPBP4ZQ80WQ57KM2T1T7PR PKM Ciangsana Spuit.pdf")</f>
        <v>surat-pesanan-EP-01KAFPBP4ZQ80WQ57KM2T1T7PR PKM Ciangsana Spuit.pdf</v>
      </c>
      <c r="F191" s="220" t="str">
        <f>IFERROR(__xludf.DUMMYFUNCTION("""COMPUTED_VALUE"""),"MPG-201125009 - Top Point.pdf")</f>
        <v>MPG-201125009 - Top Point.pdf</v>
      </c>
      <c r="G191" s="73"/>
      <c r="H191" s="59"/>
      <c r="I191" s="24">
        <f>IFERROR(__xludf.DUMMYFUNCTION("""COMPUTED_VALUE"""),3961160.0)</f>
        <v>3961160</v>
      </c>
      <c r="J191" s="227"/>
      <c r="K191" s="228"/>
      <c r="L191" s="229">
        <f>IFERROR(__xludf.DUMMYFUNCTION("""COMPUTED_VALUE"""),3961160.0)</f>
        <v>3961160</v>
      </c>
      <c r="M191" s="254">
        <v>45659.0</v>
      </c>
      <c r="N191" s="205" t="s">
        <v>1138</v>
      </c>
      <c r="O191" s="199">
        <f t="shared" si="9"/>
        <v>3961160</v>
      </c>
      <c r="P191" s="254">
        <v>45659.0</v>
      </c>
      <c r="Q191" s="222"/>
      <c r="R191" s="199">
        <f t="shared" si="3"/>
        <v>0</v>
      </c>
      <c r="S191" s="200"/>
      <c r="T191" s="201"/>
      <c r="U191" s="48"/>
      <c r="V191" s="46" t="s">
        <v>1157</v>
      </c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</row>
    <row r="192" ht="15.75" hidden="1" customHeight="1">
      <c r="A192" s="190"/>
      <c r="B192" s="190" t="str">
        <f>IFERROR(__xludf.DUMMYFUNCTION("""COMPUTED_VALUE"""),"Top Point")</f>
        <v>Top Point</v>
      </c>
      <c r="C192" s="60" t="str">
        <f>IFERROR(__xludf.DUMMYFUNCTION("""COMPUTED_VALUE"""),"Pembelian infus set (po 12 rspp)")</f>
        <v>Pembelian infus set (po 12 rspp)</v>
      </c>
      <c r="D192" s="73"/>
      <c r="E192" s="219" t="str">
        <f>IFERROR(__xludf.DUMMYFUNCTION("""COMPUTED_VALUE"""),"PO 12 RSPP.jpg")</f>
        <v>PO 12 RSPP.jpg</v>
      </c>
      <c r="F192" s="220" t="str">
        <f>IFERROR(__xludf.DUMMYFUNCTION("""COMPUTED_VALUE"""),"MPG-201125010 - TOP POINT.pdf")</f>
        <v>MPG-201125010 - TOP POINT.pdf</v>
      </c>
      <c r="G192" s="73"/>
      <c r="H192" s="59"/>
      <c r="I192" s="24">
        <f>IFERROR(__xludf.DUMMYFUNCTION("""COMPUTED_VALUE"""),6750000.0)</f>
        <v>6750000</v>
      </c>
      <c r="J192" s="227"/>
      <c r="K192" s="228"/>
      <c r="L192" s="229">
        <f>IFERROR(__xludf.DUMMYFUNCTION("""COMPUTED_VALUE"""),6750000.0)</f>
        <v>6750000</v>
      </c>
      <c r="M192" s="254">
        <v>45973.0</v>
      </c>
      <c r="N192" s="205" t="s">
        <v>1138</v>
      </c>
      <c r="O192" s="199">
        <f t="shared" si="9"/>
        <v>6750000</v>
      </c>
      <c r="P192" s="253">
        <v>45973.0</v>
      </c>
      <c r="Q192" s="222"/>
      <c r="R192" s="199">
        <f t="shared" si="3"/>
        <v>0</v>
      </c>
      <c r="S192" s="200"/>
      <c r="T192" s="201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</row>
    <row r="193" ht="15.75" customHeight="1">
      <c r="A193" s="190"/>
      <c r="B193" s="190" t="str">
        <f>IFERROR(__xludf.DUMMYFUNCTION("""COMPUTED_VALUE"""),"Top Point")</f>
        <v>Top Point</v>
      </c>
      <c r="C193" s="60" t="str">
        <f>IFERROR(__xludf.DUMMYFUNCTION("""COMPUTED_VALUE"""),"Pembelian suntikan (pesanan rs sukapura)")</f>
        <v>Pembelian suntikan (pesanan rs sukapura)</v>
      </c>
      <c r="D193" s="73"/>
      <c r="E193" s="219" t="str">
        <f>IFERROR(__xludf.DUMMYFUNCTION("""COMPUTED_VALUE"""),"SP RS SUKAPURA")</f>
        <v>SP RS SUKAPURA</v>
      </c>
      <c r="F193" s="220" t="str">
        <f>IFERROR(__xludf.DUMMYFUNCTION("""COMPUTED_VALUE"""),"MPG-171125008 - PT. Top Point (RS Islam Sukapura).pdf")</f>
        <v>MPG-171125008 - PT. Top Point (RS Islam Sukapura).pdf</v>
      </c>
      <c r="G193" s="73"/>
      <c r="H193" s="59"/>
      <c r="I193" s="24">
        <f>IFERROR(__xludf.DUMMYFUNCTION("""COMPUTED_VALUE"""),656581.0)</f>
        <v>656581</v>
      </c>
      <c r="J193" s="227">
        <f>IFERROR(__xludf.DUMMYFUNCTION("""COMPUTED_VALUE"""),72224.0)</f>
        <v>72224</v>
      </c>
      <c r="K193" s="228"/>
      <c r="L193" s="229">
        <f>IFERROR(__xludf.DUMMYFUNCTION("""COMPUTED_VALUE"""),728805.0)</f>
        <v>728805</v>
      </c>
      <c r="M193" s="255"/>
      <c r="N193" s="205" t="s">
        <v>1138</v>
      </c>
      <c r="O193" s="199"/>
      <c r="P193" s="217"/>
      <c r="Q193" s="222"/>
      <c r="R193" s="199">
        <f t="shared" si="3"/>
        <v>728805</v>
      </c>
      <c r="S193" s="200"/>
      <c r="T193" s="201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</row>
    <row r="194" ht="15.75" hidden="1" customHeight="1">
      <c r="A194" s="190"/>
      <c r="B194" s="190" t="str">
        <f>IFERROR(__xludf.DUMMYFUNCTION("""COMPUTED_VALUE"""),"Aneva Palet")</f>
        <v>Aneva Palet</v>
      </c>
      <c r="C194" s="60" t="str">
        <f>IFERROR(__xludf.DUMMYFUNCTION("""COMPUTED_VALUE"""),"Pembelian palet (pesanan pkm bojong)")</f>
        <v>Pembelian palet (pesanan pkm bojong)</v>
      </c>
      <c r="D194" s="73"/>
      <c r="E194" s="219" t="str">
        <f>IFERROR(__xludf.DUMMYFUNCTION("""COMPUTED_VALUE"""),"surat-pesanan-EP-01KADHRM679CXKJN1YBJRFN23G PKM Bojong Pallet.pdf")</f>
        <v>surat-pesanan-EP-01KADHRM679CXKJN1YBJRFN23G PKM Bojong Pallet.pdf</v>
      </c>
      <c r="F194" s="220" t="str">
        <f>IFERROR(__xludf.DUMMYFUNCTION("""COMPUTED_VALUE"""),"MPG-211125015 - PT. ANEVA PALLET PLASTIK.pdf")</f>
        <v>MPG-211125015 - PT. ANEVA PALLET PLASTIK.pdf</v>
      </c>
      <c r="G194" s="73"/>
      <c r="H194" s="59"/>
      <c r="I194" s="24">
        <f>IFERROR(__xludf.DUMMYFUNCTION("""COMPUTED_VALUE"""),600000.0)</f>
        <v>600000</v>
      </c>
      <c r="J194" s="227"/>
      <c r="K194" s="228"/>
      <c r="L194" s="229">
        <f>IFERROR(__xludf.DUMMYFUNCTION("""COMPUTED_VALUE"""),600000.0)</f>
        <v>600000</v>
      </c>
      <c r="M194" s="254">
        <v>45982.0</v>
      </c>
      <c r="N194" s="205" t="s">
        <v>1138</v>
      </c>
      <c r="O194" s="199">
        <f t="shared" ref="O194:O196" si="10">L194</f>
        <v>600000</v>
      </c>
      <c r="P194" s="253">
        <v>45982.0</v>
      </c>
      <c r="Q194" s="222"/>
      <c r="R194" s="199">
        <f t="shared" si="3"/>
        <v>0</v>
      </c>
      <c r="S194" s="200"/>
      <c r="T194" s="201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</row>
    <row r="195" ht="15.75" hidden="1" customHeight="1">
      <c r="A195" s="190"/>
      <c r="B195" s="190" t="str">
        <f>IFERROR(__xludf.DUMMYFUNCTION("""COMPUTED_VALUE"""),"PT. BSM")</f>
        <v>PT. BSM</v>
      </c>
      <c r="C195" s="60" t="str">
        <f>IFERROR(__xludf.DUMMYFUNCTION("""COMPUTED_VALUE"""),"Pembelian pesanan (PKM Ciangsana)")</f>
        <v>Pembelian pesanan (PKM Ciangsana)</v>
      </c>
      <c r="D195" s="73"/>
      <c r="E195" s="219" t="str">
        <f>IFERROR(__xludf.DUMMYFUNCTION("""COMPUTED_VALUE"""),"surat-pesanan-EP-01KAFSB154R1PDY1W80KBKP0W4  pkm ciangsana.pdf")</f>
        <v>surat-pesanan-EP-01KAFSB154R1PDY1W80KBKP0W4  pkm ciangsana.pdf</v>
      </c>
      <c r="F195" s="220" t="str">
        <f>IFERROR(__xludf.DUMMYFUNCTION("""COMPUTED_VALUE"""),"MPG-201125013 --- PT. BSM (Puskesmas Ciangsana).pdf")</f>
        <v>MPG-201125013 --- PT. BSM (Puskesmas Ciangsana).pdf</v>
      </c>
      <c r="G195" s="73"/>
      <c r="H195" s="59"/>
      <c r="I195" s="24">
        <f>IFERROR(__xludf.DUMMYFUNCTION("""COMPUTED_VALUE"""),1.1575418E7)</f>
        <v>11575418</v>
      </c>
      <c r="J195" s="227">
        <f>IFERROR(__xludf.DUMMYFUNCTION("""COMPUTED_VALUE"""),1273296.0)</f>
        <v>1273296</v>
      </c>
      <c r="K195" s="228"/>
      <c r="L195" s="229">
        <f>IFERROR(__xludf.DUMMYFUNCTION("""COMPUTED_VALUE"""),1.2848714E7)</f>
        <v>12848714</v>
      </c>
      <c r="M195" s="254">
        <v>45982.0</v>
      </c>
      <c r="N195" s="205" t="s">
        <v>1138</v>
      </c>
      <c r="O195" s="199">
        <f t="shared" si="10"/>
        <v>12848714</v>
      </c>
      <c r="P195" s="253">
        <v>45982.0</v>
      </c>
      <c r="Q195" s="250">
        <v>2500.0</v>
      </c>
      <c r="R195" s="199">
        <f t="shared" si="3"/>
        <v>0</v>
      </c>
      <c r="S195" s="200"/>
      <c r="T195" s="201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</row>
    <row r="196" ht="15.75" hidden="1" customHeight="1">
      <c r="A196" s="190"/>
      <c r="B196" s="190" t="str">
        <f>IFERROR(__xludf.DUMMYFUNCTION("""COMPUTED_VALUE"""),"PT. Dhyas")</f>
        <v>PT. Dhyas</v>
      </c>
      <c r="C196" s="60" t="str">
        <f>IFERROR(__xludf.DUMMYFUNCTION("""COMPUTED_VALUE"""),"Pembelian pesanan (pkm ciangsana)")</f>
        <v>Pembelian pesanan (pkm ciangsana)</v>
      </c>
      <c r="D196" s="73"/>
      <c r="E196" s="219" t="str">
        <f>IFERROR(__xludf.DUMMYFUNCTION("""COMPUTED_VALUE"""),"surat-pesanan-EP-01KAFSB154R1PDY1W80KBKP0W4  pkm ciangsana.pdf")</f>
        <v>surat-pesanan-EP-01KAFSB154R1PDY1W80KBKP0W4  pkm ciangsana.pdf</v>
      </c>
      <c r="F196" s="220" t="str">
        <f>IFERROR(__xludf.DUMMYFUNCTION("""COMPUTED_VALUE"""),"MPG-201125011 - PT DHYAS MITRA USAHA.pdf")</f>
        <v>MPG-201125011 - PT DHYAS MITRA USAHA.pdf</v>
      </c>
      <c r="G196" s="73"/>
      <c r="H196" s="59"/>
      <c r="I196" s="24">
        <f>IFERROR(__xludf.DUMMYFUNCTION("""COMPUTED_VALUE"""),1.675E7)</f>
        <v>16750000</v>
      </c>
      <c r="J196" s="227"/>
      <c r="K196" s="228"/>
      <c r="L196" s="229">
        <f>IFERROR(__xludf.DUMMYFUNCTION("""COMPUTED_VALUE"""),1.675E7)</f>
        <v>16750000</v>
      </c>
      <c r="M196" s="211" t="s">
        <v>1158</v>
      </c>
      <c r="N196" s="205" t="s">
        <v>1138</v>
      </c>
      <c r="O196" s="199">
        <f t="shared" si="10"/>
        <v>16750000</v>
      </c>
      <c r="P196" s="211" t="s">
        <v>1158</v>
      </c>
      <c r="Q196" s="250">
        <v>2500.0</v>
      </c>
      <c r="R196" s="199">
        <f t="shared" si="3"/>
        <v>0</v>
      </c>
      <c r="S196" s="200"/>
      <c r="T196" s="201"/>
      <c r="U196" s="48"/>
      <c r="V196" s="46" t="s">
        <v>1159</v>
      </c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</row>
    <row r="197" ht="15.75" hidden="1" customHeight="1">
      <c r="A197" s="190"/>
      <c r="B197" s="190" t="str">
        <f>IFERROR(__xludf.DUMMYFUNCTION("""COMPUTED_VALUE"""),"PT. Anara")</f>
        <v>PT. Anara</v>
      </c>
      <c r="C197" s="60" t="str">
        <f>IFERROR(__xludf.DUMMYFUNCTION("""COMPUTED_VALUE"""),"Pembelian pesanan (pkm ciangsana)")</f>
        <v>Pembelian pesanan (pkm ciangsana)</v>
      </c>
      <c r="D197" s="73"/>
      <c r="E197" s="219" t="str">
        <f>IFERROR(__xludf.DUMMYFUNCTION("""COMPUTED_VALUE"""),"surat-pesanan-EP-01KAFSB154R1PDY1W80KBKP0W4  pkm ciangsana.pdf")</f>
        <v>surat-pesanan-EP-01KAFSB154R1PDY1W80KBKP0W4  pkm ciangsana.pdf</v>
      </c>
      <c r="F197" s="220" t="str">
        <f>IFERROR(__xludf.DUMMYFUNCTION("""COMPUTED_VALUE"""),"MPG-201125012 - PT. ANARA.pdf")</f>
        <v>MPG-201125012 - PT. ANARA.pdf</v>
      </c>
      <c r="G197" s="73">
        <f>IFERROR(__xludf.DUMMYFUNCTION("""COMPUTED_VALUE"""),45985.0)</f>
        <v>45985</v>
      </c>
      <c r="H197" s="59"/>
      <c r="I197" s="24">
        <f>IFERROR(__xludf.DUMMYFUNCTION("""COMPUTED_VALUE"""),3378378.0)</f>
        <v>3378378</v>
      </c>
      <c r="J197" s="227">
        <f>IFERROR(__xludf.DUMMYFUNCTION("""COMPUTED_VALUE"""),371621.0)</f>
        <v>371621</v>
      </c>
      <c r="K197" s="228"/>
      <c r="L197" s="229">
        <f>IFERROR(__xludf.DUMMYFUNCTION("""COMPUTED_VALUE"""),3749999.0)</f>
        <v>3749999</v>
      </c>
      <c r="M197" s="254">
        <v>45986.0</v>
      </c>
      <c r="N197" s="205" t="s">
        <v>1138</v>
      </c>
      <c r="O197" s="196">
        <v>3749999.0</v>
      </c>
      <c r="P197" s="256">
        <v>45986.0</v>
      </c>
      <c r="Q197" s="257"/>
      <c r="R197" s="199">
        <f t="shared" si="3"/>
        <v>0</v>
      </c>
      <c r="S197" s="200"/>
      <c r="T197" s="201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</row>
    <row r="198" ht="15.75" hidden="1" customHeight="1">
      <c r="A198" s="190"/>
      <c r="B198" s="190"/>
      <c r="C198" s="60" t="str">
        <f>IFERROR(__xludf.DUMMYFUNCTION("""COMPUTED_VALUE"""),"Pembelian air apirtus 5L (pkm ciangsana)")</f>
        <v>Pembelian air apirtus 5L (pkm ciangsana)</v>
      </c>
      <c r="D198" s="73"/>
      <c r="E198" s="219" t="str">
        <f>IFERROR(__xludf.DUMMYFUNCTION("""COMPUTED_VALUE"""),"surat-pesanan-EP-01KAFSB154R1PDY1W80KBKP0W4  pkm ciangsana.pdf")</f>
        <v>surat-pesanan-EP-01KAFSB154R1PDY1W80KBKP0W4  pkm ciangsana.pdf</v>
      </c>
      <c r="F198" s="73"/>
      <c r="G198" s="73"/>
      <c r="H198" s="59"/>
      <c r="I198" s="24">
        <f>IFERROR(__xludf.DUMMYFUNCTION("""COMPUTED_VALUE"""),75500.0)</f>
        <v>75500</v>
      </c>
      <c r="J198" s="227"/>
      <c r="K198" s="228"/>
      <c r="L198" s="229">
        <f>IFERROR(__xludf.DUMMYFUNCTION("""COMPUTED_VALUE"""),75500.0)</f>
        <v>75500</v>
      </c>
      <c r="M198" s="254">
        <v>45982.0</v>
      </c>
      <c r="N198" s="205" t="s">
        <v>1138</v>
      </c>
      <c r="O198" s="199">
        <f t="shared" ref="O198:O201" si="11">L198</f>
        <v>75500</v>
      </c>
      <c r="P198" s="253">
        <v>45982.0</v>
      </c>
      <c r="Q198" s="222"/>
      <c r="R198" s="199">
        <f t="shared" si="3"/>
        <v>0</v>
      </c>
      <c r="S198" s="200"/>
      <c r="T198" s="201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</row>
    <row r="199" ht="15.75" hidden="1" customHeight="1">
      <c r="A199" s="190"/>
      <c r="B199" s="190"/>
      <c r="C199" s="60" t="str">
        <f>IFERROR(__xludf.DUMMYFUNCTION("""COMPUTED_VALUE"""),"Pembelian oil imersi (pkm ciangsana)")</f>
        <v>Pembelian oil imersi (pkm ciangsana)</v>
      </c>
      <c r="D199" s="73"/>
      <c r="E199" s="219" t="str">
        <f>IFERROR(__xludf.DUMMYFUNCTION("""COMPUTED_VALUE"""),"surat-pesanan-EP-01KAFSB154R1PDY1W80KBKP0W4  pkm ciangsana.pdf")</f>
        <v>surat-pesanan-EP-01KAFSB154R1PDY1W80KBKP0W4  pkm ciangsana.pdf</v>
      </c>
      <c r="F199" s="73"/>
      <c r="G199" s="73"/>
      <c r="H199" s="59"/>
      <c r="I199" s="24">
        <f>IFERROR(__xludf.DUMMYFUNCTION("""COMPUTED_VALUE"""),587000.0)</f>
        <v>587000</v>
      </c>
      <c r="J199" s="227"/>
      <c r="K199" s="228"/>
      <c r="L199" s="229">
        <f>IFERROR(__xludf.DUMMYFUNCTION("""COMPUTED_VALUE"""),587000.0)</f>
        <v>587000</v>
      </c>
      <c r="M199" s="254">
        <v>45982.0</v>
      </c>
      <c r="N199" s="205" t="s">
        <v>1138</v>
      </c>
      <c r="O199" s="199">
        <f t="shared" si="11"/>
        <v>587000</v>
      </c>
      <c r="P199" s="253">
        <v>45982.0</v>
      </c>
      <c r="Q199" s="222"/>
      <c r="R199" s="199">
        <f t="shared" si="3"/>
        <v>0</v>
      </c>
      <c r="S199" s="200"/>
      <c r="T199" s="201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</row>
    <row r="200" ht="15.75" hidden="1" customHeight="1">
      <c r="A200" s="190"/>
      <c r="B200" s="190"/>
      <c r="C200" s="60" t="str">
        <f>IFERROR(__xludf.DUMMYFUNCTION("""COMPUTED_VALUE"""),"Pembelian Pot urine (pkm ciangsana)")</f>
        <v>Pembelian Pot urine (pkm ciangsana)</v>
      </c>
      <c r="D200" s="73"/>
      <c r="E200" s="219" t="str">
        <f>IFERROR(__xludf.DUMMYFUNCTION("""COMPUTED_VALUE"""),"surat-pesanan-EP-01KAFSB154R1PDY1W80KBKP0W4  pkm ciangsana.pdf")</f>
        <v>surat-pesanan-EP-01KAFSB154R1PDY1W80KBKP0W4  pkm ciangsana.pdf</v>
      </c>
      <c r="F200" s="73"/>
      <c r="G200" s="73"/>
      <c r="H200" s="59"/>
      <c r="I200" s="24">
        <f>IFERROR(__xludf.DUMMYFUNCTION("""COMPUTED_VALUE"""),552000.0)</f>
        <v>552000</v>
      </c>
      <c r="J200" s="227"/>
      <c r="K200" s="228"/>
      <c r="L200" s="229">
        <f>IFERROR(__xludf.DUMMYFUNCTION("""COMPUTED_VALUE"""),552000.0)</f>
        <v>552000</v>
      </c>
      <c r="M200" s="254">
        <v>45982.0</v>
      </c>
      <c r="N200" s="205" t="s">
        <v>1138</v>
      </c>
      <c r="O200" s="199">
        <f t="shared" si="11"/>
        <v>552000</v>
      </c>
      <c r="P200" s="253">
        <v>45982.0</v>
      </c>
      <c r="Q200" s="222"/>
      <c r="R200" s="199">
        <f t="shared" si="3"/>
        <v>0</v>
      </c>
      <c r="S200" s="200"/>
      <c r="T200" s="201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</row>
    <row r="201" ht="15.75" hidden="1" customHeight="1">
      <c r="A201" s="190"/>
      <c r="B201" s="190"/>
      <c r="C201" s="60" t="str">
        <f>IFERROR(__xludf.DUMMYFUNCTION("""COMPUTED_VALUE"""),"Pembelian Alkohol 70% (pkm ciangsana)")</f>
        <v>Pembelian Alkohol 70% (pkm ciangsana)</v>
      </c>
      <c r="D201" s="73"/>
      <c r="E201" s="219" t="str">
        <f>IFERROR(__xludf.DUMMYFUNCTION("""COMPUTED_VALUE"""),"surat-pesanan-EP-01KAFSB154R1PDY1W80KBKP0W4  pkm ciangsana.pdf")</f>
        <v>surat-pesanan-EP-01KAFSB154R1PDY1W80KBKP0W4  pkm ciangsana.pdf</v>
      </c>
      <c r="F201" s="73"/>
      <c r="G201" s="73"/>
      <c r="H201" s="59"/>
      <c r="I201" s="24">
        <f>IFERROR(__xludf.DUMMYFUNCTION("""COMPUTED_VALUE"""),970820.0)</f>
        <v>970820</v>
      </c>
      <c r="J201" s="227"/>
      <c r="K201" s="228"/>
      <c r="L201" s="229">
        <f>IFERROR(__xludf.DUMMYFUNCTION("""COMPUTED_VALUE"""),970820.0)</f>
        <v>970820</v>
      </c>
      <c r="M201" s="254">
        <v>45982.0</v>
      </c>
      <c r="N201" s="205" t="s">
        <v>1138</v>
      </c>
      <c r="O201" s="199">
        <f t="shared" si="11"/>
        <v>970820</v>
      </c>
      <c r="P201" s="253">
        <v>45982.0</v>
      </c>
      <c r="Q201" s="222"/>
      <c r="R201" s="199">
        <f t="shared" si="3"/>
        <v>0</v>
      </c>
      <c r="S201" s="200"/>
      <c r="T201" s="201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</row>
    <row r="202" ht="15.75" hidden="1" customHeight="1">
      <c r="A202" s="190"/>
      <c r="B202" s="190"/>
      <c r="C202" s="60" t="str">
        <f>IFERROR(__xludf.DUMMYFUNCTION("""COMPUTED_VALUE"""),"Pembelian Codfree (pkm ciangsana)")</f>
        <v>Pembelian Codfree (pkm ciangsana)</v>
      </c>
      <c r="D202" s="73"/>
      <c r="E202" s="219" t="str">
        <f>IFERROR(__xludf.DUMMYFUNCTION("""COMPUTED_VALUE"""),"surat-pesanan-EP-01KAFSB154R1PDY1W80KBKP0W4  pkm ciangsana.pdf")</f>
        <v>surat-pesanan-EP-01KAFSB154R1PDY1W80KBKP0W4  pkm ciangsana.pdf</v>
      </c>
      <c r="F202" s="220" t="str">
        <f>IFERROR(__xludf.DUMMYFUNCTION("""COMPUTED_VALUE"""),"MPG-201125014 - PT. BIOSENSOR (PKM Ciangsana).pdf")</f>
        <v>MPG-201125014 - PT. BIOSENSOR (PKM Ciangsana).pdf</v>
      </c>
      <c r="G202" s="73"/>
      <c r="H202" s="59"/>
      <c r="I202" s="24">
        <f>IFERROR(__xludf.DUMMYFUNCTION("""COMPUTED_VALUE"""),1.3400904E7)</f>
        <v>13400904</v>
      </c>
      <c r="J202" s="227">
        <f>IFERROR(__xludf.DUMMYFUNCTION("""COMPUTED_VALUE"""),1474099.0)</f>
        <v>1474099</v>
      </c>
      <c r="K202" s="228"/>
      <c r="L202" s="229">
        <f>IFERROR(__xludf.DUMMYFUNCTION("""COMPUTED_VALUE"""),1.4875003E7)</f>
        <v>14875003</v>
      </c>
      <c r="M202" s="254">
        <v>45986.0</v>
      </c>
      <c r="N202" s="205" t="s">
        <v>1138</v>
      </c>
      <c r="O202" s="196">
        <v>1.4875003E7</v>
      </c>
      <c r="P202" s="256">
        <v>45986.0</v>
      </c>
      <c r="Q202" s="250">
        <v>2500.0</v>
      </c>
      <c r="R202" s="199">
        <f t="shared" si="3"/>
        <v>0</v>
      </c>
      <c r="S202" s="200"/>
      <c r="T202" s="201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</row>
    <row r="203" ht="15.75" hidden="1" customHeight="1">
      <c r="A203" s="190"/>
      <c r="B203" s="190"/>
      <c r="C203" s="60" t="str">
        <f>IFERROR(__xludf.DUMMYFUNCTION("""COMPUTED_VALUE"""),"Pembelian Bionorm (pkm ciangsana)")</f>
        <v>Pembelian Bionorm (pkm ciangsana)</v>
      </c>
      <c r="D203" s="73"/>
      <c r="E203" s="219" t="str">
        <f>IFERROR(__xludf.DUMMYFUNCTION("""COMPUTED_VALUE"""),"surat-pesanan-EP-01KAFSB154R1PDY1W80KBKP0W4  pkm ciangsana.pdf")</f>
        <v>surat-pesanan-EP-01KAFSB154R1PDY1W80KBKP0W4  pkm ciangsana.pdf</v>
      </c>
      <c r="F203" s="220" t="str">
        <f>IFERROR(__xludf.DUMMYFUNCTION("""COMPUTED_VALUE"""),"MPG-241125016 - Whira Pithoe (PKM CIANGSANA).pdf")</f>
        <v>MPG-241125016 - Whira Pithoe (PKM CIANGSANA).pdf</v>
      </c>
      <c r="G203" s="73"/>
      <c r="H203" s="59"/>
      <c r="I203" s="24">
        <f>IFERROR(__xludf.DUMMYFUNCTION("""COMPUTED_VALUE"""),3662702.0)</f>
        <v>3662702</v>
      </c>
      <c r="J203" s="227">
        <f>IFERROR(__xludf.DUMMYFUNCTION("""COMPUTED_VALUE"""),402897.0)</f>
        <v>402897</v>
      </c>
      <c r="K203" s="228"/>
      <c r="L203" s="229">
        <f>IFERROR(__xludf.DUMMYFUNCTION("""COMPUTED_VALUE"""),4065599.0)</f>
        <v>4065599</v>
      </c>
      <c r="M203" s="254">
        <v>45986.0</v>
      </c>
      <c r="N203" s="205" t="s">
        <v>1138</v>
      </c>
      <c r="O203" s="196">
        <v>4065600.0</v>
      </c>
      <c r="P203" s="256">
        <v>45986.0</v>
      </c>
      <c r="Q203" s="250">
        <v>2500.0</v>
      </c>
      <c r="R203" s="199">
        <f t="shared" si="3"/>
        <v>-1</v>
      </c>
      <c r="S203" s="200"/>
      <c r="T203" s="201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</row>
    <row r="204" ht="15.75" customHeight="1">
      <c r="A204" s="190"/>
      <c r="B204" s="190"/>
      <c r="C204" s="60" t="str">
        <f>IFERROR(__xludf.DUMMYFUNCTION("""COMPUTED_VALUE"""),"Pembelian aquadest (pkm ciangsana)")</f>
        <v>Pembelian aquadest (pkm ciangsana)</v>
      </c>
      <c r="D204" s="73"/>
      <c r="E204" s="219" t="str">
        <f>IFERROR(__xludf.DUMMYFUNCTION("""COMPUTED_VALUE"""),"surat-pesanan-EP-01KAFSB154R1PDY1W80KBKP0W4  pkm ciangsana.pdf")</f>
        <v>surat-pesanan-EP-01KAFSB154R1PDY1W80KBKP0W4  pkm ciangsana.pdf</v>
      </c>
      <c r="F204" s="73"/>
      <c r="G204" s="73"/>
      <c r="H204" s="59"/>
      <c r="I204" s="24">
        <f>IFERROR(__xludf.DUMMYFUNCTION("""COMPUTED_VALUE"""),258000.0)</f>
        <v>258000</v>
      </c>
      <c r="J204" s="227"/>
      <c r="K204" s="228"/>
      <c r="L204" s="229">
        <f>IFERROR(__xludf.DUMMYFUNCTION("""COMPUTED_VALUE"""),258000.0)</f>
        <v>258000</v>
      </c>
      <c r="M204" s="255"/>
      <c r="N204" s="205" t="s">
        <v>1138</v>
      </c>
      <c r="O204" s="199"/>
      <c r="P204" s="217"/>
      <c r="Q204" s="222"/>
      <c r="R204" s="199">
        <f t="shared" si="3"/>
        <v>258000</v>
      </c>
      <c r="S204" s="200"/>
      <c r="T204" s="201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</row>
    <row r="205" ht="15.75" hidden="1" customHeight="1">
      <c r="A205" s="190"/>
      <c r="B205" s="190"/>
      <c r="C205" s="60" t="str">
        <f>IFERROR(__xludf.DUMMYFUNCTION("""COMPUTED_VALUE"""),"Pembelian object glass (pkm ciangsana)")</f>
        <v>Pembelian object glass (pkm ciangsana)</v>
      </c>
      <c r="D205" s="73"/>
      <c r="E205" s="219" t="str">
        <f>IFERROR(__xludf.DUMMYFUNCTION("""COMPUTED_VALUE"""),"surat-pesanan-EP-01KAFSB154R1PDY1W80KBKP0W4  pkm ciangsana.pdf")</f>
        <v>surat-pesanan-EP-01KAFSB154R1PDY1W80KBKP0W4  pkm ciangsana.pdf</v>
      </c>
      <c r="F205" s="73"/>
      <c r="G205" s="73"/>
      <c r="H205" s="59"/>
      <c r="I205" s="24">
        <f>IFERROR(__xludf.DUMMYFUNCTION("""COMPUTED_VALUE"""),324000.0)</f>
        <v>324000</v>
      </c>
      <c r="J205" s="227"/>
      <c r="K205" s="228"/>
      <c r="L205" s="229">
        <f>IFERROR(__xludf.DUMMYFUNCTION("""COMPUTED_VALUE"""),324000.0)</f>
        <v>324000</v>
      </c>
      <c r="M205" s="254">
        <v>45986.0</v>
      </c>
      <c r="N205" s="205" t="s">
        <v>1138</v>
      </c>
      <c r="O205" s="196">
        <v>324000.0</v>
      </c>
      <c r="P205" s="256">
        <v>45986.0</v>
      </c>
      <c r="Q205" s="222"/>
      <c r="R205" s="199">
        <f t="shared" si="3"/>
        <v>0</v>
      </c>
      <c r="S205" s="200"/>
      <c r="T205" s="201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</row>
    <row r="206" ht="15.75" hidden="1" customHeight="1">
      <c r="A206" s="190"/>
      <c r="B206" s="190"/>
      <c r="C206" s="60" t="str">
        <f>IFERROR(__xludf.DUMMYFUNCTION("""COMPUTED_VALUE"""),"Pembelian Hypafix (pkm ciangsana)")</f>
        <v>Pembelian Hypafix (pkm ciangsana)</v>
      </c>
      <c r="D206" s="73"/>
      <c r="E206" s="219" t="str">
        <f>IFERROR(__xludf.DUMMYFUNCTION("""COMPUTED_VALUE"""),"surat-pesanan-EP-01KAFSB154R1PDY1W80KBKP0W4  pkm ciangsana.pdf")</f>
        <v>surat-pesanan-EP-01KAFSB154R1PDY1W80KBKP0W4  pkm ciangsana.pdf</v>
      </c>
      <c r="F206" s="73"/>
      <c r="G206" s="73"/>
      <c r="H206" s="59"/>
      <c r="I206" s="24">
        <f>IFERROR(__xludf.DUMMYFUNCTION("""COMPUTED_VALUE"""),433400.0)</f>
        <v>433400</v>
      </c>
      <c r="J206" s="227"/>
      <c r="K206" s="228"/>
      <c r="L206" s="229">
        <f>IFERROR(__xludf.DUMMYFUNCTION("""COMPUTED_VALUE"""),433400.0)</f>
        <v>433400</v>
      </c>
      <c r="M206" s="254">
        <v>45986.0</v>
      </c>
      <c r="N206" s="205" t="s">
        <v>1138</v>
      </c>
      <c r="O206" s="196">
        <v>433440.0</v>
      </c>
      <c r="P206" s="256">
        <v>45986.0</v>
      </c>
      <c r="Q206" s="222"/>
      <c r="R206" s="199">
        <f t="shared" si="3"/>
        <v>-40</v>
      </c>
      <c r="S206" s="200"/>
      <c r="T206" s="201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</row>
    <row r="207" ht="15.75" hidden="1" customHeight="1">
      <c r="A207" s="190"/>
      <c r="B207" s="190"/>
      <c r="C207" s="60" t="str">
        <f>IFERROR(__xludf.DUMMYFUNCTION("""COMPUTED_VALUE"""),"Pembelian Kasa gulung (pkm ciangsana)")</f>
        <v>Pembelian Kasa gulung (pkm ciangsana)</v>
      </c>
      <c r="D207" s="73"/>
      <c r="E207" s="219" t="str">
        <f>IFERROR(__xludf.DUMMYFUNCTION("""COMPUTED_VALUE"""),"surat-pesanan-EP-01KAFSB154R1PDY1W80KBKP0W4  pkm ciangsana.pdf")</f>
        <v>surat-pesanan-EP-01KAFSB154R1PDY1W80KBKP0W4  pkm ciangsana.pdf</v>
      </c>
      <c r="F207" s="73"/>
      <c r="G207" s="73"/>
      <c r="H207" s="59"/>
      <c r="I207" s="24">
        <f>IFERROR(__xludf.DUMMYFUNCTION("""COMPUTED_VALUE"""),666500.0)</f>
        <v>666500</v>
      </c>
      <c r="J207" s="227"/>
      <c r="K207" s="228"/>
      <c r="L207" s="229">
        <f>IFERROR(__xludf.DUMMYFUNCTION("""COMPUTED_VALUE"""),666500.0)</f>
        <v>666500</v>
      </c>
      <c r="M207" s="248">
        <v>45986.0</v>
      </c>
      <c r="N207" s="205" t="s">
        <v>1138</v>
      </c>
      <c r="O207" s="196">
        <v>666500.0</v>
      </c>
      <c r="P207" s="256">
        <v>45986.0</v>
      </c>
      <c r="Q207" s="222"/>
      <c r="R207" s="199">
        <f t="shared" si="3"/>
        <v>0</v>
      </c>
      <c r="S207" s="200"/>
      <c r="T207" s="201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</row>
    <row r="208" ht="15.75" hidden="1" customHeight="1">
      <c r="A208" s="190"/>
      <c r="B208" s="190"/>
      <c r="C208" s="60" t="str">
        <f>IFERROR(__xludf.DUMMYFUNCTION("""COMPUTED_VALUE"""),"Pembelian Tusuk gigi (ciangsana)")</f>
        <v>Pembelian Tusuk gigi (ciangsana)</v>
      </c>
      <c r="D208" s="73"/>
      <c r="E208" s="219" t="str">
        <f>IFERROR(__xludf.DUMMYFUNCTION("""COMPUTED_VALUE"""),"surat-pesanan-EP-01KAFSB154R1PDY1W80KBKP0W4  pkm ciangsana.pdf")</f>
        <v>surat-pesanan-EP-01KAFSB154R1PDY1W80KBKP0W4  pkm ciangsana.pdf</v>
      </c>
      <c r="F208" s="73"/>
      <c r="G208" s="73"/>
      <c r="H208" s="59"/>
      <c r="I208" s="24">
        <f>IFERROR(__xludf.DUMMYFUNCTION("""COMPUTED_VALUE"""),80402.0)</f>
        <v>80402</v>
      </c>
      <c r="J208" s="227"/>
      <c r="K208" s="228"/>
      <c r="L208" s="229">
        <f>IFERROR(__xludf.DUMMYFUNCTION("""COMPUTED_VALUE"""),80402.0)</f>
        <v>80402</v>
      </c>
      <c r="M208" s="254">
        <v>45986.0</v>
      </c>
      <c r="N208" s="205" t="s">
        <v>1138</v>
      </c>
      <c r="O208" s="196">
        <v>80402.0</v>
      </c>
      <c r="P208" s="256">
        <v>45986.0</v>
      </c>
      <c r="Q208" s="222"/>
      <c r="R208" s="199">
        <f t="shared" si="3"/>
        <v>0</v>
      </c>
      <c r="S208" s="200"/>
      <c r="T208" s="201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</row>
    <row r="209" ht="15.75" hidden="1" customHeight="1">
      <c r="A209" s="190"/>
      <c r="B209" s="190"/>
      <c r="C209" s="60" t="str">
        <f>IFERROR(__xludf.DUMMYFUNCTION("""COMPUTED_VALUE"""),"Top Up Petty Cash")</f>
        <v>Top Up Petty Cash</v>
      </c>
      <c r="D209" s="73"/>
      <c r="E209" s="221"/>
      <c r="F209" s="73"/>
      <c r="G209" s="73"/>
      <c r="H209" s="59"/>
      <c r="I209" s="24">
        <f>IFERROR(__xludf.DUMMYFUNCTION("""COMPUTED_VALUE"""),5000000.0)</f>
        <v>5000000</v>
      </c>
      <c r="J209" s="227"/>
      <c r="K209" s="228"/>
      <c r="L209" s="229">
        <f>IFERROR(__xludf.DUMMYFUNCTION("""COMPUTED_VALUE"""),5000000.0)</f>
        <v>5000000</v>
      </c>
      <c r="M209" s="254">
        <v>45985.0</v>
      </c>
      <c r="N209" s="205" t="s">
        <v>1138</v>
      </c>
      <c r="O209" s="199">
        <f>L209</f>
        <v>5000000</v>
      </c>
      <c r="P209" s="253">
        <v>45985.0</v>
      </c>
      <c r="Q209" s="222"/>
      <c r="R209" s="199">
        <f t="shared" si="3"/>
        <v>0</v>
      </c>
      <c r="S209" s="200"/>
      <c r="T209" s="201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</row>
    <row r="210" ht="15.75" customHeight="1">
      <c r="A210" s="190"/>
      <c r="B210" s="190"/>
      <c r="C210" s="60" t="str">
        <f>IFERROR(__xludf.DUMMYFUNCTION("""COMPUTED_VALUE"""),"Pembelian pesanan rsi sukapura ")</f>
        <v>Pembelian pesanan rsi sukapura </v>
      </c>
      <c r="D210" s="73"/>
      <c r="E210" s="219" t="str">
        <f>IFERROR(__xludf.DUMMYFUNCTION("""COMPUTED_VALUE"""),"MATA PENCYL 9905.pdf")</f>
        <v>MATA PENCYL 9905.pdf</v>
      </c>
      <c r="F210" s="220" t="str">
        <f>IFERROR(__xludf.DUMMYFUNCTION("""COMPUTED_VALUE"""),"MPG-241125017 - TP (RSI SUKAPURA).pdf")</f>
        <v>MPG-241125017 - TP (RSI SUKAPURA).pdf</v>
      </c>
      <c r="G210" s="73"/>
      <c r="H210" s="59"/>
      <c r="I210" s="24">
        <f>IFERROR(__xludf.DUMMYFUNCTION("""COMPUTED_VALUE"""),125000.0)</f>
        <v>125000</v>
      </c>
      <c r="J210" s="227">
        <f>IFERROR(__xludf.DUMMYFUNCTION("""COMPUTED_VALUE"""),13750.0)</f>
        <v>13750</v>
      </c>
      <c r="K210" s="228"/>
      <c r="L210" s="229">
        <f>IFERROR(__xludf.DUMMYFUNCTION("""COMPUTED_VALUE"""),138750.0)</f>
        <v>138750</v>
      </c>
      <c r="M210" s="255"/>
      <c r="N210" s="205" t="s">
        <v>1138</v>
      </c>
      <c r="O210" s="199"/>
      <c r="P210" s="217"/>
      <c r="Q210" s="222"/>
      <c r="R210" s="199">
        <f t="shared" si="3"/>
        <v>138750</v>
      </c>
      <c r="S210" s="200"/>
      <c r="T210" s="201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</row>
    <row r="211" ht="15.75" hidden="1" customHeight="1">
      <c r="A211" s="190"/>
      <c r="B211" s="190"/>
      <c r="C211" s="60" t="str">
        <f>IFERROR(__xludf.DUMMYFUNCTION("""COMPUTED_VALUE"""),"Pembelian widal dan goldar (pkm ciangsana)")</f>
        <v>Pembelian widal dan goldar (pkm ciangsana)</v>
      </c>
      <c r="D211" s="73"/>
      <c r="E211" s="219" t="str">
        <f>IFERROR(__xludf.DUMMYFUNCTION("""COMPUTED_VALUE"""),"surat-pesanan-EP-01KAFSB154R1PDY1W80KBKP0W4  pkm ciangsana.pdf")</f>
        <v>surat-pesanan-EP-01KAFSB154R1PDY1W80KBKP0W4  pkm ciangsana.pdf</v>
      </c>
      <c r="F211" s="220" t="str">
        <f>IFERROR(__xludf.DUMMYFUNCTION("""COMPUTED_VALUE"""),"MPG-051225006 - PT. SGM.pdf")</f>
        <v>MPG-051225006 - PT. SGM.pdf</v>
      </c>
      <c r="G211" s="73"/>
      <c r="H211" s="59"/>
      <c r="I211" s="24">
        <f>IFERROR(__xludf.DUMMYFUNCTION("""COMPUTED_VALUE"""),652000.0)</f>
        <v>652000</v>
      </c>
      <c r="J211" s="227">
        <f>IFERROR(__xludf.DUMMYFUNCTION("""COMPUTED_VALUE"""),71720.0)</f>
        <v>71720</v>
      </c>
      <c r="K211" s="228"/>
      <c r="L211" s="229">
        <f>IFERROR(__xludf.DUMMYFUNCTION("""COMPUTED_VALUE"""),723720.0)</f>
        <v>723720</v>
      </c>
      <c r="M211" s="211" t="s">
        <v>1160</v>
      </c>
      <c r="N211" s="205" t="s">
        <v>1138</v>
      </c>
      <c r="O211" s="196">
        <f>L211</f>
        <v>723720</v>
      </c>
      <c r="P211" s="211" t="s">
        <v>1160</v>
      </c>
      <c r="Q211" s="250">
        <v>2500.0</v>
      </c>
      <c r="R211" s="199">
        <f t="shared" si="3"/>
        <v>0</v>
      </c>
      <c r="S211" s="200"/>
      <c r="T211" s="201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</row>
    <row r="212" ht="15.75" hidden="1" customHeight="1">
      <c r="A212" s="190"/>
      <c r="B212" s="190"/>
      <c r="C212" s="60" t="str">
        <f>IFERROR(__xludf.DUMMYFUNCTION("""COMPUTED_VALUE"""),"Pembellian media amies (pkm ciangsana)")</f>
        <v>Pembellian media amies (pkm ciangsana)</v>
      </c>
      <c r="D212" s="73"/>
      <c r="E212" s="219" t="str">
        <f>IFERROR(__xludf.DUMMYFUNCTION("""COMPUTED_VALUE"""),"surat-pesanan-EP-01KAFSB154R1PDY1W80KBKP0W4  pkm ciangsana.pdf")</f>
        <v>surat-pesanan-EP-01KAFSB154R1PDY1W80KBKP0W4  pkm ciangsana.pdf</v>
      </c>
      <c r="F212" s="73"/>
      <c r="G212" s="73"/>
      <c r="H212" s="59"/>
      <c r="I212" s="24">
        <f>IFERROR(__xludf.DUMMYFUNCTION("""COMPUTED_VALUE"""),167200.0)</f>
        <v>167200</v>
      </c>
      <c r="J212" s="227"/>
      <c r="K212" s="228"/>
      <c r="L212" s="229">
        <f>IFERROR(__xludf.DUMMYFUNCTION("""COMPUTED_VALUE"""),167200.0)</f>
        <v>167200</v>
      </c>
      <c r="M212" s="254">
        <v>45987.0</v>
      </c>
      <c r="N212" s="205" t="s">
        <v>1138</v>
      </c>
      <c r="O212" s="196">
        <v>167200.0</v>
      </c>
      <c r="P212" s="256">
        <v>45987.0</v>
      </c>
      <c r="Q212" s="222"/>
      <c r="R212" s="199">
        <f t="shared" si="3"/>
        <v>0</v>
      </c>
      <c r="S212" s="200"/>
      <c r="T212" s="201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</row>
    <row r="213" ht="15.75" hidden="1" customHeight="1">
      <c r="A213" s="190"/>
      <c r="B213" s="190"/>
      <c r="C213" s="60" t="str">
        <f>IFERROR(__xludf.DUMMYFUNCTION("""COMPUTED_VALUE"""),"Pembelian catgut, micripore, nebu mask anak dan dewasa (pkm cibeutung udik)")</f>
        <v>Pembelian catgut, micripore, nebu mask anak dan dewasa (pkm cibeutung udik)</v>
      </c>
      <c r="D213" s="73"/>
      <c r="E213" s="219" t="str">
        <f>IFERROR(__xludf.DUMMYFUNCTION("""COMPUTED_VALUE"""),"surat-pesanan-EP-01KAG4BW9DVM2PBKDCV2TK7MYT pkm cibeuteung udik.pdf")</f>
        <v>surat-pesanan-EP-01KAG4BW9DVM2PBKDCV2TK7MYT pkm cibeuteung udik.pdf</v>
      </c>
      <c r="F213" s="220" t="str">
        <f>IFERROR(__xludf.DUMMYFUNCTION("""COMPUTED_VALUE"""),"MPG-261125018 - PT. BSM (PKM CIBEUTEUNG UDIK).pdf")</f>
        <v>MPG-261125018 - PT. BSM (PKM CIBEUTEUNG UDIK).pdf</v>
      </c>
      <c r="G213" s="73"/>
      <c r="H213" s="59"/>
      <c r="I213" s="24">
        <f>IFERROR(__xludf.DUMMYFUNCTION("""COMPUTED_VALUE"""),1117078.0)</f>
        <v>1117078</v>
      </c>
      <c r="J213" s="227">
        <f>IFERROR(__xludf.DUMMYFUNCTION("""COMPUTED_VALUE"""),122879.0)</f>
        <v>122879</v>
      </c>
      <c r="K213" s="228"/>
      <c r="L213" s="229">
        <f>IFERROR(__xludf.DUMMYFUNCTION("""COMPUTED_VALUE"""),1239957.0)</f>
        <v>1239957</v>
      </c>
      <c r="M213" s="254">
        <v>45987.0</v>
      </c>
      <c r="N213" s="205" t="s">
        <v>1138</v>
      </c>
      <c r="O213" s="196">
        <v>1239957.0</v>
      </c>
      <c r="P213" s="258" t="s">
        <v>1161</v>
      </c>
      <c r="Q213" s="250">
        <v>2500.0</v>
      </c>
      <c r="R213" s="199">
        <f t="shared" si="3"/>
        <v>0</v>
      </c>
      <c r="S213" s="200"/>
      <c r="T213" s="201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</row>
    <row r="214" ht="15.75" hidden="1" customHeight="1">
      <c r="A214" s="190"/>
      <c r="B214" s="190"/>
      <c r="C214" s="60" t="str">
        <f>IFERROR(__xludf.DUMMYFUNCTION("""COMPUTED_VALUE"""),"Pembelian Suction (pkm cibeutung udik)")</f>
        <v>Pembelian Suction (pkm cibeutung udik)</v>
      </c>
      <c r="D214" s="73"/>
      <c r="E214" s="219" t="str">
        <f>IFERROR(__xludf.DUMMYFUNCTION("""COMPUTED_VALUE"""),"surat-pesanan-EP-01KAG4BW9DVM2PBKDCV2TK7MYT pkm cibeuteung udik.pdf")</f>
        <v>surat-pesanan-EP-01KAG4BW9DVM2PBKDCV2TK7MYT pkm cibeuteung udik.pdf</v>
      </c>
      <c r="F214" s="73"/>
      <c r="G214" s="73"/>
      <c r="H214" s="59"/>
      <c r="I214" s="24">
        <f>IFERROR(__xludf.DUMMYFUNCTION("""COMPUTED_VALUE"""),73100.0)</f>
        <v>73100</v>
      </c>
      <c r="J214" s="227"/>
      <c r="K214" s="228"/>
      <c r="L214" s="229">
        <f>IFERROR(__xludf.DUMMYFUNCTION("""COMPUTED_VALUE"""),73100.0)</f>
        <v>73100</v>
      </c>
      <c r="M214" s="254">
        <v>45987.0</v>
      </c>
      <c r="N214" s="205" t="s">
        <v>1138</v>
      </c>
      <c r="O214" s="196">
        <v>73100.0</v>
      </c>
      <c r="P214" s="254">
        <v>45987.0</v>
      </c>
      <c r="Q214" s="222"/>
      <c r="R214" s="199">
        <f t="shared" si="3"/>
        <v>0</v>
      </c>
      <c r="S214" s="200"/>
      <c r="T214" s="201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</row>
    <row r="215" ht="15.75" hidden="1" customHeight="1">
      <c r="A215" s="190"/>
      <c r="B215" s="190"/>
      <c r="C215" s="60" t="str">
        <f>IFERROR(__xludf.DUMMYFUNCTION("""COMPUTED_VALUE"""),"Pembelian Gel anestesi precain (pkm cibeteung udik)")</f>
        <v>Pembelian Gel anestesi precain (pkm cibeteung udik)</v>
      </c>
      <c r="D215" s="73"/>
      <c r="E215" s="219" t="str">
        <f>IFERROR(__xludf.DUMMYFUNCTION("""COMPUTED_VALUE"""),"surat-pesanan-EP-01KAG4BW9DVM2PBKDCV2TK7MYT pkm cibeuteung udik.pdf")</f>
        <v>surat-pesanan-EP-01KAG4BW9DVM2PBKDCV2TK7MYT pkm cibeuteung udik.pdf</v>
      </c>
      <c r="F215" s="73"/>
      <c r="G215" s="73"/>
      <c r="H215" s="59"/>
      <c r="I215" s="24">
        <f>IFERROR(__xludf.DUMMYFUNCTION("""COMPUTED_VALUE"""),222130.0)</f>
        <v>222130</v>
      </c>
      <c r="J215" s="227"/>
      <c r="K215" s="228"/>
      <c r="L215" s="229">
        <f>IFERROR(__xludf.DUMMYFUNCTION("""COMPUTED_VALUE"""),222130.0)</f>
        <v>222130</v>
      </c>
      <c r="M215" s="254">
        <v>45987.0</v>
      </c>
      <c r="N215" s="205" t="s">
        <v>1138</v>
      </c>
      <c r="O215" s="196">
        <v>222130.0</v>
      </c>
      <c r="P215" s="254">
        <v>45987.0</v>
      </c>
      <c r="Q215" s="222"/>
      <c r="R215" s="199">
        <f t="shared" si="3"/>
        <v>0</v>
      </c>
      <c r="S215" s="200"/>
      <c r="T215" s="201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</row>
    <row r="216" ht="15.75" hidden="1" customHeight="1">
      <c r="A216" s="190"/>
      <c r="B216" s="190"/>
      <c r="C216" s="60" t="str">
        <f>IFERROR(__xludf.DUMMYFUNCTION("""COMPUTED_VALUE"""),"Pembelian pulpevit no 1 (pkm cibeutung udik)")</f>
        <v>Pembelian pulpevit no 1 (pkm cibeutung udik)</v>
      </c>
      <c r="D216" s="73"/>
      <c r="E216" s="219" t="str">
        <f>IFERROR(__xludf.DUMMYFUNCTION("""COMPUTED_VALUE"""),"surat-pesanan-EP-01KAG4BW9DVM2PBKDCV2TK7MYT pkm cibeuteung udik.pdf")</f>
        <v>surat-pesanan-EP-01KAG4BW9DVM2PBKDCV2TK7MYT pkm cibeuteung udik.pdf</v>
      </c>
      <c r="F216" s="73"/>
      <c r="G216" s="73"/>
      <c r="H216" s="59"/>
      <c r="I216" s="24">
        <f>IFERROR(__xludf.DUMMYFUNCTION("""COMPUTED_VALUE"""),244337.0)</f>
        <v>244337</v>
      </c>
      <c r="J216" s="227"/>
      <c r="K216" s="228"/>
      <c r="L216" s="229">
        <f>IFERROR(__xludf.DUMMYFUNCTION("""COMPUTED_VALUE"""),244337.0)</f>
        <v>244337</v>
      </c>
      <c r="M216" s="254">
        <v>45987.0</v>
      </c>
      <c r="N216" s="205" t="s">
        <v>1138</v>
      </c>
      <c r="O216" s="196">
        <v>244337.0</v>
      </c>
      <c r="P216" s="254">
        <v>45987.0</v>
      </c>
      <c r="Q216" s="222"/>
      <c r="R216" s="199">
        <f t="shared" si="3"/>
        <v>0</v>
      </c>
      <c r="S216" s="200"/>
      <c r="T216" s="201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</row>
    <row r="217" ht="15.75" hidden="1" customHeight="1">
      <c r="A217" s="190"/>
      <c r="B217" s="190"/>
      <c r="C217" s="60" t="str">
        <f>IFERROR(__xludf.DUMMYFUNCTION("""COMPUTED_VALUE"""),"Pembelian cotton roll (pkm cibeutung udik)")</f>
        <v>Pembelian cotton roll (pkm cibeutung udik)</v>
      </c>
      <c r="D217" s="73"/>
      <c r="E217" s="219" t="str">
        <f>IFERROR(__xludf.DUMMYFUNCTION("""COMPUTED_VALUE"""),"surat-pesanan-EP-01KAG4BW9DVM2PBKDCV2TK7MYT pkm cibeuteung udik.pdf")</f>
        <v>surat-pesanan-EP-01KAG4BW9DVM2PBKDCV2TK7MYT pkm cibeuteung udik.pdf</v>
      </c>
      <c r="F217" s="73"/>
      <c r="G217" s="73"/>
      <c r="H217" s="59"/>
      <c r="I217" s="24">
        <f>IFERROR(__xludf.DUMMYFUNCTION("""COMPUTED_VALUE"""),81080.0)</f>
        <v>81080</v>
      </c>
      <c r="J217" s="227"/>
      <c r="K217" s="228"/>
      <c r="L217" s="229">
        <f>IFERROR(__xludf.DUMMYFUNCTION("""COMPUTED_VALUE"""),81080.0)</f>
        <v>81080</v>
      </c>
      <c r="M217" s="254">
        <v>45987.0</v>
      </c>
      <c r="N217" s="205" t="s">
        <v>1138</v>
      </c>
      <c r="O217" s="196">
        <v>81080.0</v>
      </c>
      <c r="P217" s="254">
        <v>45987.0</v>
      </c>
      <c r="Q217" s="222"/>
      <c r="R217" s="199">
        <f t="shared" si="3"/>
        <v>0</v>
      </c>
      <c r="S217" s="200"/>
      <c r="T217" s="201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</row>
    <row r="218" ht="15.75" hidden="1" customHeight="1">
      <c r="A218" s="190"/>
      <c r="B218" s="190"/>
      <c r="C218" s="60" t="str">
        <f>IFERROR(__xludf.DUMMYFUNCTION("""COMPUTED_VALUE"""),"dana support kegiatan pkm cileungsi dan gandoang")</f>
        <v>dana support kegiatan pkm cileungsi dan gandoang</v>
      </c>
      <c r="D218" s="73"/>
      <c r="E218" s="221"/>
      <c r="F218" s="73"/>
      <c r="G218" s="73"/>
      <c r="H218" s="59"/>
      <c r="I218" s="24">
        <f>IFERROR(__xludf.DUMMYFUNCTION("""COMPUTED_VALUE"""),2000000.0)</f>
        <v>2000000</v>
      </c>
      <c r="J218" s="227"/>
      <c r="K218" s="228"/>
      <c r="L218" s="229">
        <f>IFERROR(__xludf.DUMMYFUNCTION("""COMPUTED_VALUE"""),2000000.0)</f>
        <v>2000000</v>
      </c>
      <c r="M218" s="254">
        <v>45987.0</v>
      </c>
      <c r="N218" s="205" t="s">
        <v>1138</v>
      </c>
      <c r="O218" s="196">
        <v>2000000.0</v>
      </c>
      <c r="P218" s="254">
        <v>45987.0</v>
      </c>
      <c r="Q218" s="222"/>
      <c r="R218" s="199">
        <f t="shared" si="3"/>
        <v>0</v>
      </c>
      <c r="S218" s="200"/>
      <c r="T218" s="201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</row>
    <row r="219" ht="15.75" hidden="1" customHeight="1">
      <c r="A219" s="190"/>
      <c r="B219" s="190"/>
      <c r="C219" s="60" t="str">
        <f>IFERROR(__xludf.DUMMYFUNCTION("""COMPUTED_VALUE"""),"Pembelian urinalysis bilevel (pkm ciangsana)")</f>
        <v>Pembelian urinalysis bilevel (pkm ciangsana)</v>
      </c>
      <c r="D219" s="73"/>
      <c r="E219" s="219" t="str">
        <f>IFERROR(__xludf.DUMMYFUNCTION("""COMPUTED_VALUE"""),"surat-pesanan-EP-01KAFSB154R1PDY1W80KBKP0W4  pkm ciangsana.pdf")</f>
        <v>surat-pesanan-EP-01KAFSB154R1PDY1W80KBKP0W4  pkm ciangsana.pdf</v>
      </c>
      <c r="F219" s="220" t="str">
        <f>IFERROR(__xludf.DUMMYFUNCTION("""COMPUTED_VALUE"""),"MPG-271125020 - PT. KIRANA JAYA LESTARI.pdf")</f>
        <v>MPG-271125020 - PT. KIRANA JAYA LESTARI.pdf</v>
      </c>
      <c r="G219" s="73"/>
      <c r="H219" s="59"/>
      <c r="I219" s="24">
        <f>IFERROR(__xludf.DUMMYFUNCTION("""COMPUTED_VALUE"""),6519500.0)</f>
        <v>6519500</v>
      </c>
      <c r="J219" s="227">
        <f>IFERROR(__xludf.DUMMYFUNCTION("""COMPUTED_VALUE"""),717145.0)</f>
        <v>717145</v>
      </c>
      <c r="K219" s="228"/>
      <c r="L219" s="229">
        <f>IFERROR(__xludf.DUMMYFUNCTION("""COMPUTED_VALUE"""),7236645.0)</f>
        <v>7236645</v>
      </c>
      <c r="M219" s="254">
        <v>45988.0</v>
      </c>
      <c r="N219" s="205" t="s">
        <v>1138</v>
      </c>
      <c r="O219" s="196">
        <v>7236645.0</v>
      </c>
      <c r="P219" s="256">
        <v>45988.0</v>
      </c>
      <c r="Q219" s="222"/>
      <c r="R219" s="199">
        <f t="shared" si="3"/>
        <v>0</v>
      </c>
      <c r="S219" s="200"/>
      <c r="T219" s="201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</row>
    <row r="220" ht="15.75" hidden="1" customHeight="1">
      <c r="A220" s="190"/>
      <c r="B220" s="190"/>
      <c r="C220" s="60" t="str">
        <f>IFERROR(__xludf.DUMMYFUNCTION("""COMPUTED_VALUE"""),"Pembelian AC (Pkm pasir angin)")</f>
        <v>Pembelian AC (Pkm pasir angin)</v>
      </c>
      <c r="D220" s="73"/>
      <c r="E220" s="219" t="str">
        <f>IFERROR(__xludf.DUMMYFUNCTION("""COMPUTED_VALUE"""),"surat-pesanan-EP-01KAJ9N8FKHYX0JFJ0SC8PSB33 Pasir Angin AC.pdf")</f>
        <v>surat-pesanan-EP-01KAJ9N8FKHYX0JFJ0SC8PSB33 Pasir Angin AC.pdf</v>
      </c>
      <c r="F220" s="220" t="str">
        <f>IFERROR(__xludf.DUMMYFUNCTION("""COMPUTED_VALUE"""),"MPG-271125019 - AC WAHANA.pdf")</f>
        <v>MPG-271125019 - AC WAHANA.pdf</v>
      </c>
      <c r="G220" s="73"/>
      <c r="H220" s="59"/>
      <c r="I220" s="24">
        <f>IFERROR(__xludf.DUMMYFUNCTION("""COMPUTED_VALUE"""),7448649.0)</f>
        <v>7448649</v>
      </c>
      <c r="J220" s="227">
        <f>IFERROR(__xludf.DUMMYFUNCTION("""COMPUTED_VALUE"""),819351.0)</f>
        <v>819351</v>
      </c>
      <c r="K220" s="228"/>
      <c r="L220" s="229">
        <f>IFERROR(__xludf.DUMMYFUNCTION("""COMPUTED_VALUE"""),8268000.0)</f>
        <v>8268000</v>
      </c>
      <c r="M220" s="254">
        <v>45988.0</v>
      </c>
      <c r="N220" s="205" t="s">
        <v>1138</v>
      </c>
      <c r="O220" s="196">
        <v>8268000.0</v>
      </c>
      <c r="P220" s="254">
        <v>45988.0</v>
      </c>
      <c r="Q220" s="222"/>
      <c r="R220" s="199">
        <f t="shared" si="3"/>
        <v>0</v>
      </c>
      <c r="S220" s="200"/>
      <c r="T220" s="201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</row>
    <row r="221" ht="15.75" hidden="1" customHeight="1">
      <c r="A221" s="190"/>
      <c r="B221" s="190"/>
      <c r="C221" s="60" t="str">
        <f>IFERROR(__xludf.DUMMYFUNCTION("""COMPUTED_VALUE"""),"Pembelian kekurangan nebu mask dewasa (pkm cibeutung udik)")</f>
        <v>Pembelian kekurangan nebu mask dewasa (pkm cibeutung udik)</v>
      </c>
      <c r="D221" s="73"/>
      <c r="E221" s="219" t="str">
        <f>IFERROR(__xludf.DUMMYFUNCTION("""COMPUTED_VALUE"""),"surat-pesanan-EP-01KAG4BW9DVM2PBKDCV2TK7MYT pkm cibeuteung udik.pdf")</f>
        <v>surat-pesanan-EP-01KAG4BW9DVM2PBKDCV2TK7MYT pkm cibeuteung udik.pdf</v>
      </c>
      <c r="F221" s="220" t="str">
        <f>IFERROR(__xludf.DUMMYFUNCTION("""COMPUTED_VALUE"""),"MPG-271125021 - PT.BSM.pdf")</f>
        <v>MPG-271125021 - PT.BSM.pdf</v>
      </c>
      <c r="G221" s="73"/>
      <c r="H221" s="59"/>
      <c r="I221" s="24">
        <f>IFERROR(__xludf.DUMMYFUNCTION("""COMPUTED_VALUE"""),337825.0)</f>
        <v>337825</v>
      </c>
      <c r="J221" s="227">
        <f>IFERROR(__xludf.DUMMYFUNCTION("""COMPUTED_VALUE"""),37161.0)</f>
        <v>37161</v>
      </c>
      <c r="K221" s="228"/>
      <c r="L221" s="229">
        <f>IFERROR(__xludf.DUMMYFUNCTION("""COMPUTED_VALUE"""),374986.0)</f>
        <v>374986</v>
      </c>
      <c r="M221" s="254">
        <v>45988.0</v>
      </c>
      <c r="N221" s="205" t="s">
        <v>1138</v>
      </c>
      <c r="O221" s="196">
        <v>374986.0</v>
      </c>
      <c r="P221" s="256">
        <v>45988.0</v>
      </c>
      <c r="Q221" s="222"/>
      <c r="R221" s="199">
        <f t="shared" si="3"/>
        <v>0</v>
      </c>
      <c r="S221" s="200"/>
      <c r="T221" s="201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</row>
    <row r="222" ht="15.75" hidden="1" customHeight="1">
      <c r="A222" s="190"/>
      <c r="B222" s="190"/>
      <c r="C222" s="60" t="str">
        <f>IFERROR(__xludf.DUMMYFUNCTION("""COMPUTED_VALUE"""),"Pembelian kekurangan suntikan (pkm ciangsana)")</f>
        <v>Pembelian kekurangan suntikan (pkm ciangsana)</v>
      </c>
      <c r="D222" s="73"/>
      <c r="E222" s="219" t="str">
        <f>IFERROR(__xludf.DUMMYFUNCTION("""COMPUTED_VALUE"""),"surat-pesanan-EP-01KAFPBP4ZQ80WQ57KM2T1T7PR PKM Ciangsana Spuit.pdf")</f>
        <v>surat-pesanan-EP-01KAFPBP4ZQ80WQ57KM2T1T7PR PKM Ciangsana Spuit.pdf</v>
      </c>
      <c r="F222" s="73"/>
      <c r="G222" s="73"/>
      <c r="H222" s="59"/>
      <c r="I222" s="24">
        <f>IFERROR(__xludf.DUMMYFUNCTION("""COMPUTED_VALUE"""),67340.0)</f>
        <v>67340</v>
      </c>
      <c r="J222" s="227"/>
      <c r="K222" s="228"/>
      <c r="L222" s="229">
        <f>IFERROR(__xludf.DUMMYFUNCTION("""COMPUTED_VALUE"""),67340.0)</f>
        <v>67340</v>
      </c>
      <c r="M222" s="254">
        <v>45659.0</v>
      </c>
      <c r="N222" s="205" t="s">
        <v>1138</v>
      </c>
      <c r="O222" s="199">
        <f>L222</f>
        <v>67340</v>
      </c>
      <c r="P222" s="254">
        <v>45659.0</v>
      </c>
      <c r="Q222" s="222"/>
      <c r="R222" s="199">
        <f t="shared" si="3"/>
        <v>0</v>
      </c>
      <c r="S222" s="200"/>
      <c r="T222" s="201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</row>
    <row r="223" ht="15.75" hidden="1" customHeight="1">
      <c r="A223" s="190"/>
      <c r="B223" s="190"/>
      <c r="C223" s="60" t="str">
        <f>IFERROR(__xludf.DUMMYFUNCTION("""COMPUTED_VALUE"""),"Pembelian imersi (pkm ciangsana)")</f>
        <v>Pembelian imersi (pkm ciangsana)</v>
      </c>
      <c r="D223" s="73"/>
      <c r="E223" s="219" t="str">
        <f>IFERROR(__xludf.DUMMYFUNCTION("""COMPUTED_VALUE"""),"surat-pesanan-EP-01KAFSB154R1PDY1W80KBKP0W4  pkm ciangsana.pdf")</f>
        <v>surat-pesanan-EP-01KAFSB154R1PDY1W80KBKP0W4  pkm ciangsana.pdf</v>
      </c>
      <c r="F223" s="73"/>
      <c r="G223" s="73"/>
      <c r="H223" s="59"/>
      <c r="I223" s="24">
        <f>IFERROR(__xludf.DUMMYFUNCTION("""COMPUTED_VALUE"""),635000.0)</f>
        <v>635000</v>
      </c>
      <c r="J223" s="227"/>
      <c r="K223" s="228"/>
      <c r="L223" s="229">
        <f>IFERROR(__xludf.DUMMYFUNCTION("""COMPUTED_VALUE"""),635000.0)</f>
        <v>635000</v>
      </c>
      <c r="M223" s="254">
        <v>45988.0</v>
      </c>
      <c r="N223" s="205" t="s">
        <v>1138</v>
      </c>
      <c r="O223" s="196">
        <v>635000.0</v>
      </c>
      <c r="P223" s="256">
        <v>45987.0</v>
      </c>
      <c r="Q223" s="222"/>
      <c r="R223" s="199">
        <f t="shared" si="3"/>
        <v>0</v>
      </c>
      <c r="S223" s="200"/>
      <c r="T223" s="201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</row>
    <row r="224" ht="15.75" hidden="1" customHeight="1">
      <c r="A224" s="190"/>
      <c r="B224" s="190"/>
      <c r="C224" s="60" t="str">
        <f>IFERROR(__xludf.DUMMYFUNCTION("""COMPUTED_VALUE"""),"Virtual office Diva")</f>
        <v>Virtual office Diva</v>
      </c>
      <c r="D224" s="73"/>
      <c r="E224" s="221"/>
      <c r="F224" s="73"/>
      <c r="G224" s="73"/>
      <c r="H224" s="59"/>
      <c r="I224" s="24">
        <f>IFERROR(__xludf.DUMMYFUNCTION("""COMPUTED_VALUE"""),3300000.0)</f>
        <v>3300000</v>
      </c>
      <c r="J224" s="227">
        <f>IFERROR(__xludf.DUMMYFUNCTION("""COMPUTED_VALUE"""),363000.0)</f>
        <v>363000</v>
      </c>
      <c r="K224" s="228"/>
      <c r="L224" s="229">
        <f>IFERROR(__xludf.DUMMYFUNCTION("""COMPUTED_VALUE"""),3663000.0)</f>
        <v>3663000</v>
      </c>
      <c r="M224" s="254">
        <v>45988.0</v>
      </c>
      <c r="N224" s="205" t="s">
        <v>1138</v>
      </c>
      <c r="O224" s="196">
        <v>3663000.0</v>
      </c>
      <c r="P224" s="254">
        <v>45988.0</v>
      </c>
      <c r="Q224" s="222"/>
      <c r="R224" s="199">
        <f t="shared" si="3"/>
        <v>0</v>
      </c>
      <c r="S224" s="200"/>
      <c r="T224" s="201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</row>
    <row r="225" ht="15.75" hidden="1" customHeight="1">
      <c r="A225" s="190"/>
      <c r="B225" s="190"/>
      <c r="C225" s="60" t="str">
        <f>IFERROR(__xludf.DUMMYFUNCTION("""COMPUTED_VALUE"""),"Pembelian stabilizer 1500 va(pkm pasir angin)")</f>
        <v>Pembelian stabilizer 1500 va(pkm pasir angin)</v>
      </c>
      <c r="D225" s="73"/>
      <c r="E225" s="219" t="str">
        <f>IFERROR(__xludf.DUMMYFUNCTION("""COMPUTED_VALUE"""),"surat-pesanan-EP-01KAJJ7XG8T55T6Y82NNTXTJD7 Pasir Angin  Stabilizer.pdf")</f>
        <v>surat-pesanan-EP-01KAJJ7XG8T55T6Y82NNTXTJD7 Pasir Angin  Stabilizer.pdf</v>
      </c>
      <c r="F225" s="73"/>
      <c r="G225" s="73"/>
      <c r="H225" s="59"/>
      <c r="I225" s="24">
        <f>IFERROR(__xludf.DUMMYFUNCTION("""COMPUTED_VALUE"""),1825000.0)</f>
        <v>1825000</v>
      </c>
      <c r="J225" s="227"/>
      <c r="K225" s="228"/>
      <c r="L225" s="229">
        <f>IFERROR(__xludf.DUMMYFUNCTION("""COMPUTED_VALUE"""),1825000.0)</f>
        <v>1825000</v>
      </c>
      <c r="M225" s="211" t="s">
        <v>1162</v>
      </c>
      <c r="N225" s="205" t="s">
        <v>1138</v>
      </c>
      <c r="O225" s="199">
        <f t="shared" ref="O225:P225" si="12">L225</f>
        <v>1825000</v>
      </c>
      <c r="P225" s="259" t="str">
        <f t="shared" si="12"/>
        <v>03-Des-25</v>
      </c>
      <c r="Q225" s="222"/>
      <c r="R225" s="199">
        <f t="shared" si="3"/>
        <v>0</v>
      </c>
      <c r="S225" s="200"/>
      <c r="T225" s="201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</row>
    <row r="226" ht="15.75" hidden="1" customHeight="1">
      <c r="A226" s="190"/>
      <c r="B226" s="190"/>
      <c r="C226" s="60" t="str">
        <f>IFERROR(__xludf.DUMMYFUNCTION("""COMPUTED_VALUE"""),"Pembelian stabilizer 1000 va (pkm pasir angin) ")</f>
        <v>Pembelian stabilizer 1000 va (pkm pasir angin) </v>
      </c>
      <c r="D226" s="73"/>
      <c r="E226" s="219" t="str">
        <f>IFERROR(__xludf.DUMMYFUNCTION("""COMPUTED_VALUE"""),"surat-pesanan-EP-01KAJJ7XG8T55T6Y82NNTXTJD7 Pasir Angin  Stabilizer.pdf")</f>
        <v>surat-pesanan-EP-01KAJJ7XG8T55T6Y82NNTXTJD7 Pasir Angin  Stabilizer.pdf</v>
      </c>
      <c r="F226" s="73"/>
      <c r="G226" s="73"/>
      <c r="H226" s="59"/>
      <c r="I226" s="24">
        <f>IFERROR(__xludf.DUMMYFUNCTION("""COMPUTED_VALUE"""),681229.0)</f>
        <v>681229</v>
      </c>
      <c r="J226" s="227"/>
      <c r="K226" s="228"/>
      <c r="L226" s="229">
        <f>IFERROR(__xludf.DUMMYFUNCTION("""COMPUTED_VALUE"""),681229.0)</f>
        <v>681229</v>
      </c>
      <c r="M226" s="211" t="s">
        <v>1162</v>
      </c>
      <c r="N226" s="205" t="s">
        <v>1138</v>
      </c>
      <c r="O226" s="199">
        <f t="shared" ref="O226:P226" si="13">L226</f>
        <v>681229</v>
      </c>
      <c r="P226" s="259" t="str">
        <f t="shared" si="13"/>
        <v>03-Des-25</v>
      </c>
      <c r="Q226" s="222"/>
      <c r="R226" s="199">
        <f t="shared" si="3"/>
        <v>0</v>
      </c>
      <c r="S226" s="200"/>
      <c r="T226" s="201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</row>
    <row r="227" ht="15.75" hidden="1" customHeight="1">
      <c r="A227" s="190"/>
      <c r="B227" s="190"/>
      <c r="C227" s="60" t="str">
        <f>IFERROR(__xludf.DUMMYFUNCTION("""COMPUTED_VALUE"""),"Pembayaran Tempo SMS (RSUD CIBINONG) 6291")</f>
        <v>Pembayaran Tempo SMS (RSUD CIBINONG) 6291</v>
      </c>
      <c r="D227" s="73"/>
      <c r="E227" s="221"/>
      <c r="F227" s="73"/>
      <c r="G227" s="73"/>
      <c r="H227" s="59"/>
      <c r="I227" s="24">
        <f>IFERROR(__xludf.DUMMYFUNCTION("""COMPUTED_VALUE"""),1.11144E7)</f>
        <v>11114400</v>
      </c>
      <c r="J227" s="227">
        <f>IFERROR(__xludf.DUMMYFUNCTION("""COMPUTED_VALUE"""),1222584.0)</f>
        <v>1222584</v>
      </c>
      <c r="K227" s="228"/>
      <c r="L227" s="229">
        <f>IFERROR(__xludf.DUMMYFUNCTION("""COMPUTED_VALUE"""),1.2336984E7)</f>
        <v>12336984</v>
      </c>
      <c r="M227" s="254">
        <v>45665.0</v>
      </c>
      <c r="N227" s="205" t="s">
        <v>1138</v>
      </c>
      <c r="O227" s="199">
        <f t="shared" ref="O227:O230" si="14">L227</f>
        <v>12336984</v>
      </c>
      <c r="P227" s="254">
        <v>45665.0</v>
      </c>
      <c r="Q227" s="250">
        <v>2500.0</v>
      </c>
      <c r="R227" s="199">
        <f t="shared" si="3"/>
        <v>0</v>
      </c>
      <c r="S227" s="200"/>
      <c r="T227" s="201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</row>
    <row r="228" ht="15.75" hidden="1" customHeight="1">
      <c r="A228" s="190"/>
      <c r="B228" s="190"/>
      <c r="C228" s="60" t="str">
        <f>IFERROR(__xludf.DUMMYFUNCTION("""COMPUTED_VALUE"""),"Pembayaran Tempo SMS (RSUD CIBINONG) 6473")</f>
        <v>Pembayaran Tempo SMS (RSUD CIBINONG) 6473</v>
      </c>
      <c r="D228" s="73"/>
      <c r="E228" s="219" t="str">
        <f>IFERROR(__xludf.DUMMYFUNCTION("""COMPUTED_VALUE"""),"Nodin 16 Rsud Cibinong.pdf")</f>
        <v>Nodin 16 Rsud Cibinong.pdf</v>
      </c>
      <c r="F228" s="73"/>
      <c r="G228" s="73"/>
      <c r="H228" s="59"/>
      <c r="I228" s="24">
        <f>IFERROR(__xludf.DUMMYFUNCTION("""COMPUTED_VALUE"""),1.40505E7)</f>
        <v>14050500</v>
      </c>
      <c r="J228" s="227">
        <f>IFERROR(__xludf.DUMMYFUNCTION("""COMPUTED_VALUE"""),1545555.0)</f>
        <v>1545555</v>
      </c>
      <c r="K228" s="228"/>
      <c r="L228" s="229">
        <f>IFERROR(__xludf.DUMMYFUNCTION("""COMPUTED_VALUE"""),1.5596055E7)</f>
        <v>15596055</v>
      </c>
      <c r="M228" s="211" t="s">
        <v>1163</v>
      </c>
      <c r="N228" s="205" t="s">
        <v>1138</v>
      </c>
      <c r="O228" s="199">
        <f t="shared" si="14"/>
        <v>15596055</v>
      </c>
      <c r="P228" s="211" t="s">
        <v>1163</v>
      </c>
      <c r="Q228" s="250">
        <v>2500.0</v>
      </c>
      <c r="R228" s="199">
        <f t="shared" si="3"/>
        <v>0</v>
      </c>
      <c r="S228" s="200"/>
      <c r="T228" s="201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</row>
    <row r="229" ht="15.75" hidden="1" customHeight="1">
      <c r="A229" s="190"/>
      <c r="B229" s="190"/>
      <c r="C229" s="60" t="str">
        <f>IFERROR(__xludf.DUMMYFUNCTION("""COMPUTED_VALUE"""),"Pembayaran Tempo SMS (RSUD CIBINONG) 6578")</f>
        <v>Pembayaran Tempo SMS (RSUD CIBINONG) 6578</v>
      </c>
      <c r="D229" s="73"/>
      <c r="E229" s="219" t="str">
        <f>IFERROR(__xludf.DUMMYFUNCTION("""COMPUTED_VALUE"""),"Nodin 16 Rsud Cibinong.pdf")</f>
        <v>Nodin 16 Rsud Cibinong.pdf</v>
      </c>
      <c r="F229" s="73"/>
      <c r="G229" s="73"/>
      <c r="H229" s="59"/>
      <c r="I229" s="24">
        <f>IFERROR(__xludf.DUMMYFUNCTION("""COMPUTED_VALUE"""),1.1577E7)</f>
        <v>11577000</v>
      </c>
      <c r="J229" s="227">
        <f>IFERROR(__xludf.DUMMYFUNCTION("""COMPUTED_VALUE"""),1273470.0)</f>
        <v>1273470</v>
      </c>
      <c r="K229" s="228"/>
      <c r="L229" s="229">
        <f>IFERROR(__xludf.DUMMYFUNCTION("""COMPUTED_VALUE"""),1.285047E7)</f>
        <v>12850470</v>
      </c>
      <c r="M229" s="211" t="s">
        <v>1163</v>
      </c>
      <c r="N229" s="205" t="s">
        <v>1138</v>
      </c>
      <c r="O229" s="199">
        <f t="shared" si="14"/>
        <v>12850470</v>
      </c>
      <c r="P229" s="211" t="s">
        <v>1163</v>
      </c>
      <c r="Q229" s="250">
        <v>2500.0</v>
      </c>
      <c r="R229" s="199">
        <f t="shared" si="3"/>
        <v>0</v>
      </c>
      <c r="S229" s="200"/>
      <c r="T229" s="201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</row>
    <row r="230" ht="15.75" hidden="1" customHeight="1">
      <c r="A230" s="190"/>
      <c r="B230" s="190"/>
      <c r="C230" s="60" t="str">
        <f>IFERROR(__xludf.DUMMYFUNCTION("""COMPUTED_VALUE"""),"Pembayaran Tempo SMS (RSUD CIBINONG) 6063")</f>
        <v>Pembayaran Tempo SMS (RSUD CIBINONG) 6063</v>
      </c>
      <c r="D230" s="73"/>
      <c r="E230" s="221"/>
      <c r="F230" s="73"/>
      <c r="G230" s="73"/>
      <c r="H230" s="59"/>
      <c r="I230" s="24">
        <f>IFERROR(__xludf.DUMMYFUNCTION("""COMPUTED_VALUE"""),1.91655E7)</f>
        <v>19165500</v>
      </c>
      <c r="J230" s="227">
        <f>IFERROR(__xludf.DUMMYFUNCTION("""COMPUTED_VALUE"""),2108205.0)</f>
        <v>2108205</v>
      </c>
      <c r="K230" s="228"/>
      <c r="L230" s="229">
        <f>IFERROR(__xludf.DUMMYFUNCTION("""COMPUTED_VALUE"""),2.1273705E7)</f>
        <v>21273705</v>
      </c>
      <c r="M230" s="211" t="s">
        <v>1153</v>
      </c>
      <c r="N230" s="205" t="s">
        <v>1138</v>
      </c>
      <c r="O230" s="199">
        <f t="shared" si="14"/>
        <v>21273705</v>
      </c>
      <c r="P230" s="211" t="s">
        <v>1153</v>
      </c>
      <c r="Q230" s="250">
        <v>2500.0</v>
      </c>
      <c r="R230" s="199">
        <f t="shared" si="3"/>
        <v>0</v>
      </c>
      <c r="S230" s="200"/>
      <c r="T230" s="201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</row>
    <row r="231" ht="15.75" customHeight="1">
      <c r="A231" s="190"/>
      <c r="B231" s="190"/>
      <c r="C231" s="60" t="str">
        <f>IFERROR(__xludf.DUMMYFUNCTION("""COMPUTED_VALUE"""),"Pembayaran Tempo SMS (RSUD CIBINONG) ")</f>
        <v>Pembayaran Tempo SMS (RSUD CIBINONG) </v>
      </c>
      <c r="D231" s="73"/>
      <c r="E231" s="219" t="str">
        <f>IFERROR(__xludf.DUMMYFUNCTION("""COMPUTED_VALUE"""),"NODIN 16 RSUD CIBINONG (M-6 FR).jpeg")</f>
        <v>NODIN 16 RSUD CIBINONG (M-6 FR).jpeg</v>
      </c>
      <c r="F231" s="220" t="str">
        <f>IFERROR(__xludf.DUMMYFUNCTION("""COMPUTED_VALUE"""),"SPH RSUD CIBINONG NODIN 16 23 SEPTEMBER.pdf")</f>
        <v>SPH RSUD CIBINONG NODIN 16 23 SEPTEMBER.pdf</v>
      </c>
      <c r="G231" s="73"/>
      <c r="H231" s="59"/>
      <c r="I231" s="24">
        <f>IFERROR(__xludf.DUMMYFUNCTION("""COMPUTED_VALUE"""),5289000.0)</f>
        <v>5289000</v>
      </c>
      <c r="J231" s="227">
        <f>IFERROR(__xludf.DUMMYFUNCTION("""COMPUTED_VALUE"""),581790.0)</f>
        <v>581790</v>
      </c>
      <c r="K231" s="228"/>
      <c r="L231" s="229">
        <f>IFERROR(__xludf.DUMMYFUNCTION("""COMPUTED_VALUE"""),5870790.0)</f>
        <v>5870790</v>
      </c>
      <c r="M231" s="228"/>
      <c r="N231" s="205" t="s">
        <v>1138</v>
      </c>
      <c r="O231" s="199"/>
      <c r="P231" s="259"/>
      <c r="Q231" s="222"/>
      <c r="R231" s="199">
        <f t="shared" si="3"/>
        <v>5870790</v>
      </c>
      <c r="S231" s="200"/>
      <c r="T231" s="201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</row>
    <row r="232" ht="15.75" hidden="1" customHeight="1">
      <c r="A232" s="190"/>
      <c r="B232" s="190"/>
      <c r="C232" s="60" t="str">
        <f>IFERROR(__xludf.DUMMYFUNCTION("""COMPUTED_VALUE"""),"Pemesanan TP (PO 13 RSPP)")</f>
        <v>Pemesanan TP (PO 13 RSPP)</v>
      </c>
      <c r="D232" s="73"/>
      <c r="E232" s="219" t="str">
        <f>IFERROR(__xludf.DUMMYFUNCTION("""COMPUTED_VALUE"""),"PO RSPP 13.jpeg")</f>
        <v>PO RSPP 13.jpeg</v>
      </c>
      <c r="F232" s="220" t="str">
        <f>IFERROR(__xludf.DUMMYFUNCTION("""COMPUTED_VALUE"""),"MPG-011225001 - PT. TOP POINT (PO 13).pdf")</f>
        <v>MPG-011225001 - PT. TOP POINT (PO 13).pdf</v>
      </c>
      <c r="G232" s="73"/>
      <c r="H232" s="59"/>
      <c r="I232" s="24">
        <f>IFERROR(__xludf.DUMMYFUNCTION("""COMPUTED_VALUE"""),6750000.0)</f>
        <v>6750000</v>
      </c>
      <c r="J232" s="227"/>
      <c r="K232" s="228"/>
      <c r="L232" s="229">
        <f>IFERROR(__xludf.DUMMYFUNCTION("""COMPUTED_VALUE"""),6750000.0)</f>
        <v>6750000</v>
      </c>
      <c r="M232" s="211" t="s">
        <v>1164</v>
      </c>
      <c r="N232" s="205" t="s">
        <v>1138</v>
      </c>
      <c r="O232" s="199">
        <f t="shared" ref="O232:O312" si="15">L232</f>
        <v>6750000</v>
      </c>
      <c r="P232" s="211" t="s">
        <v>1164</v>
      </c>
      <c r="Q232" s="222"/>
      <c r="R232" s="199">
        <f t="shared" si="3"/>
        <v>0</v>
      </c>
      <c r="S232" s="200"/>
      <c r="T232" s="201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</row>
    <row r="233" ht="15.75" hidden="1" customHeight="1">
      <c r="A233" s="190"/>
      <c r="B233" s="190"/>
      <c r="C233" s="60" t="str">
        <f>IFERROR(__xludf.DUMMYFUNCTION("""COMPUTED_VALUE"""),"Pembelian PC (Pkm pasir angin)")</f>
        <v>Pembelian PC (Pkm pasir angin)</v>
      </c>
      <c r="D233" s="73"/>
      <c r="E233" s="219" t="str">
        <f>IFERROR(__xludf.DUMMYFUNCTION("""COMPUTED_VALUE"""),"surat-pesanan-EP-01KAJD9AWQAHCSP25N9NYMFAGH PKM Pasir Angin laptop.pdf")</f>
        <v>surat-pesanan-EP-01KAJD9AWQAHCSP25N9NYMFAGH PKM Pasir Angin laptop.pdf</v>
      </c>
      <c r="F233" s="73" t="str">
        <f>IFERROR(__xludf.DUMMYFUNCTION("""COMPUTED_VALUE"""),"PO?")</f>
        <v>PO?</v>
      </c>
      <c r="G233" s="73"/>
      <c r="H233" s="59"/>
      <c r="I233" s="24">
        <f>IFERROR(__xludf.DUMMYFUNCTION("""COMPUTED_VALUE"""),1.4195E7)</f>
        <v>14195000</v>
      </c>
      <c r="J233" s="227"/>
      <c r="K233" s="228"/>
      <c r="L233" s="229">
        <f>IFERROR(__xludf.DUMMYFUNCTION("""COMPUTED_VALUE"""),1.4195E7)</f>
        <v>14195000</v>
      </c>
      <c r="M233" s="211" t="s">
        <v>1162</v>
      </c>
      <c r="N233" s="205" t="s">
        <v>1138</v>
      </c>
      <c r="O233" s="199">
        <f t="shared" si="15"/>
        <v>14195000</v>
      </c>
      <c r="P233" s="211" t="s">
        <v>1162</v>
      </c>
      <c r="Q233" s="222"/>
      <c r="R233" s="199">
        <f t="shared" si="3"/>
        <v>0</v>
      </c>
      <c r="S233" s="200"/>
      <c r="T233" s="201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</row>
    <row r="234" ht="15.75" hidden="1" customHeight="1">
      <c r="A234" s="190"/>
      <c r="B234" s="190"/>
      <c r="C234" s="60" t="str">
        <f>IFERROR(__xludf.DUMMYFUNCTION("""COMPUTED_VALUE"""),"Strip HB Cibening")</f>
        <v>Strip HB Cibening</v>
      </c>
      <c r="D234" s="73"/>
      <c r="E234" s="219" t="str">
        <f>IFERROR(__xludf.DUMMYFUNCTION("""COMPUTED_VALUE"""),"surat-pesanan-EP-Strip HB-01K9RY3MBC4XEEPB1P3J2NQWS4 Pkm Cibening Hb Mission.pdf")</f>
        <v>surat-pesanan-EP-Strip HB-01K9RY3MBC4XEEPB1P3J2NQWS4 Pkm Cibening Hb Mission.pdf</v>
      </c>
      <c r="F234" s="220" t="str">
        <f>IFERROR(__xludf.DUMMYFUNCTION("""COMPUTED_VALUE"""),"MPG-021225002 - PT. MBC.pdf")</f>
        <v>MPG-021225002 - PT. MBC.pdf</v>
      </c>
      <c r="G234" s="73"/>
      <c r="H234" s="59"/>
      <c r="I234" s="24">
        <f>IFERROR(__xludf.DUMMYFUNCTION("""COMPUTED_VALUE"""),8142210.0)</f>
        <v>8142210</v>
      </c>
      <c r="J234" s="227">
        <f>IFERROR(__xludf.DUMMYFUNCTION("""COMPUTED_VALUE"""),895643.0)</f>
        <v>895643</v>
      </c>
      <c r="K234" s="228"/>
      <c r="L234" s="229">
        <f>IFERROR(__xludf.DUMMYFUNCTION("""COMPUTED_VALUE"""),9037853.0)</f>
        <v>9037853</v>
      </c>
      <c r="M234" s="211" t="s">
        <v>1165</v>
      </c>
      <c r="N234" s="205" t="s">
        <v>1138</v>
      </c>
      <c r="O234" s="199">
        <f t="shared" si="15"/>
        <v>9037853</v>
      </c>
      <c r="P234" s="211" t="s">
        <v>1165</v>
      </c>
      <c r="Q234" s="222"/>
      <c r="R234" s="199">
        <f t="shared" si="3"/>
        <v>0</v>
      </c>
      <c r="S234" s="200"/>
      <c r="T234" s="201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</row>
    <row r="235" ht="15.75" hidden="1" customHeight="1">
      <c r="A235" s="190"/>
      <c r="B235" s="190"/>
      <c r="C235" s="60" t="str">
        <f>IFERROR(__xludf.DUMMYFUNCTION("""COMPUTED_VALUE"""),"Label Stiker")</f>
        <v>Label Stiker</v>
      </c>
      <c r="D235" s="73"/>
      <c r="E235" s="221"/>
      <c r="F235" s="73"/>
      <c r="G235" s="73"/>
      <c r="H235" s="59"/>
      <c r="I235" s="24">
        <f>IFERROR(__xludf.DUMMYFUNCTION("""COMPUTED_VALUE"""),500000.0)</f>
        <v>500000</v>
      </c>
      <c r="J235" s="227"/>
      <c r="K235" s="228"/>
      <c r="L235" s="229">
        <f>IFERROR(__xludf.DUMMYFUNCTION("""COMPUTED_VALUE"""),500000.0)</f>
        <v>500000</v>
      </c>
      <c r="M235" s="211" t="s">
        <v>1162</v>
      </c>
      <c r="N235" s="205" t="s">
        <v>1138</v>
      </c>
      <c r="O235" s="199">
        <f t="shared" si="15"/>
        <v>500000</v>
      </c>
      <c r="P235" s="211" t="s">
        <v>1162</v>
      </c>
      <c r="Q235" s="222"/>
      <c r="R235" s="199">
        <f t="shared" si="3"/>
        <v>0</v>
      </c>
      <c r="S235" s="200"/>
      <c r="T235" s="201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</row>
    <row r="236" ht="15.75" hidden="1" customHeight="1">
      <c r="A236" s="190"/>
      <c r="B236" s="190"/>
      <c r="C236" s="60" t="str">
        <f>IFERROR(__xludf.DUMMYFUNCTION("""COMPUTED_VALUE"""),"Pembayaran Padi Asabri")</f>
        <v>Pembayaran Padi Asabri</v>
      </c>
      <c r="D236" s="73"/>
      <c r="E236" s="221"/>
      <c r="F236" s="73"/>
      <c r="G236" s="73"/>
      <c r="H236" s="59"/>
      <c r="I236" s="24">
        <f>IFERROR(__xludf.DUMMYFUNCTION("""COMPUTED_VALUE"""),2503165.0)</f>
        <v>2503165</v>
      </c>
      <c r="J236" s="227"/>
      <c r="K236" s="228"/>
      <c r="L236" s="229">
        <f>IFERROR(__xludf.DUMMYFUNCTION("""COMPUTED_VALUE"""),2503165.0)</f>
        <v>2503165</v>
      </c>
      <c r="M236" s="211" t="s">
        <v>1162</v>
      </c>
      <c r="N236" s="205" t="s">
        <v>1138</v>
      </c>
      <c r="O236" s="199">
        <f t="shared" si="15"/>
        <v>2503165</v>
      </c>
      <c r="P236" s="211" t="s">
        <v>1162</v>
      </c>
      <c r="Q236" s="222"/>
      <c r="R236" s="199">
        <f t="shared" si="3"/>
        <v>0</v>
      </c>
      <c r="S236" s="200"/>
      <c r="T236" s="201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</row>
    <row r="237" ht="15.75" hidden="1" customHeight="1">
      <c r="A237" s="190"/>
      <c r="B237" s="190"/>
      <c r="C237" s="60" t="str">
        <f>IFERROR(__xludf.DUMMYFUNCTION("""COMPUTED_VALUE"""),"Pembelian Pesanan dinkes tasik")</f>
        <v>Pembelian Pesanan dinkes tasik</v>
      </c>
      <c r="D237" s="73"/>
      <c r="E237" s="219" t="str">
        <f>IFERROR(__xludf.DUMMYFUNCTION("""COMPUTED_VALUE"""),"SP - Dinkes Tasik.pdf")</f>
        <v>SP - Dinkes Tasik.pdf</v>
      </c>
      <c r="F237" s="73"/>
      <c r="G237" s="73"/>
      <c r="H237" s="59"/>
      <c r="I237" s="24">
        <f>IFERROR(__xludf.DUMMYFUNCTION("""COMPUTED_VALUE"""),445948.0)</f>
        <v>445948</v>
      </c>
      <c r="J237" s="227">
        <f>IFERROR(__xludf.DUMMYFUNCTION("""COMPUTED_VALUE"""),49054.0)</f>
        <v>49054</v>
      </c>
      <c r="K237" s="228"/>
      <c r="L237" s="229">
        <f>IFERROR(__xludf.DUMMYFUNCTION("""COMPUTED_VALUE"""),495002.0)</f>
        <v>495002</v>
      </c>
      <c r="M237" s="211" t="s">
        <v>1166</v>
      </c>
      <c r="N237" s="205" t="s">
        <v>1138</v>
      </c>
      <c r="O237" s="199">
        <f t="shared" si="15"/>
        <v>495002</v>
      </c>
      <c r="P237" s="211" t="s">
        <v>1166</v>
      </c>
      <c r="Q237" s="250">
        <v>2500.0</v>
      </c>
      <c r="R237" s="199">
        <f t="shared" si="3"/>
        <v>0</v>
      </c>
      <c r="S237" s="200"/>
      <c r="T237" s="201"/>
      <c r="U237" s="46" t="s">
        <v>1167</v>
      </c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</row>
    <row r="238" ht="15.75" hidden="1" customHeight="1">
      <c r="A238" s="190"/>
      <c r="B238" s="190"/>
      <c r="C238" s="60" t="str">
        <f>IFERROR(__xludf.DUMMYFUNCTION("""COMPUTED_VALUE"""),"Pembelian Pesanan dinkes tasik")</f>
        <v>Pembelian Pesanan dinkes tasik</v>
      </c>
      <c r="D238" s="73"/>
      <c r="E238" s="219" t="str">
        <f>IFERROR(__xludf.DUMMYFUNCTION("""COMPUTED_VALUE"""),"SP - Dinkes Tasik.pdf")</f>
        <v>SP - Dinkes Tasik.pdf</v>
      </c>
      <c r="F238" s="73"/>
      <c r="G238" s="73"/>
      <c r="H238" s="59"/>
      <c r="I238" s="24">
        <f>IFERROR(__xludf.DUMMYFUNCTION("""COMPUTED_VALUE"""),2625000.0)</f>
        <v>2625000</v>
      </c>
      <c r="J238" s="227">
        <f>IFERROR(__xludf.DUMMYFUNCTION("""COMPUTED_VALUE"""),288750.0)</f>
        <v>288750</v>
      </c>
      <c r="K238" s="228"/>
      <c r="L238" s="229">
        <f>IFERROR(__xludf.DUMMYFUNCTION("""COMPUTED_VALUE"""),2913750.0)</f>
        <v>2913750</v>
      </c>
      <c r="M238" s="211" t="s">
        <v>1166</v>
      </c>
      <c r="N238" s="205" t="s">
        <v>1138</v>
      </c>
      <c r="O238" s="199">
        <f t="shared" si="15"/>
        <v>2913750</v>
      </c>
      <c r="P238" s="211" t="s">
        <v>1166</v>
      </c>
      <c r="Q238" s="222"/>
      <c r="R238" s="199">
        <f t="shared" si="3"/>
        <v>0</v>
      </c>
      <c r="S238" s="200"/>
      <c r="T238" s="201"/>
      <c r="U238" s="46" t="s">
        <v>1167</v>
      </c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</row>
    <row r="239" ht="15.75" hidden="1" customHeight="1">
      <c r="A239" s="190"/>
      <c r="B239" s="190"/>
      <c r="C239" s="60" t="str">
        <f>IFERROR(__xludf.DUMMYFUNCTION("""COMPUTED_VALUE"""),"Pembelian Pesanan dinkes tasik")</f>
        <v>Pembelian Pesanan dinkes tasik</v>
      </c>
      <c r="D239" s="73"/>
      <c r="E239" s="219" t="str">
        <f>IFERROR(__xludf.DUMMYFUNCTION("""COMPUTED_VALUE"""),"SP - Dinkes Tasik.pdf")</f>
        <v>SP - Dinkes Tasik.pdf</v>
      </c>
      <c r="F239" s="73"/>
      <c r="G239" s="73"/>
      <c r="H239" s="59"/>
      <c r="I239" s="24">
        <f>IFERROR(__xludf.DUMMYFUNCTION("""COMPUTED_VALUE"""),330000.0)</f>
        <v>330000</v>
      </c>
      <c r="J239" s="227">
        <f>IFERROR(__xludf.DUMMYFUNCTION("""COMPUTED_VALUE"""),36300.0)</f>
        <v>36300</v>
      </c>
      <c r="K239" s="228"/>
      <c r="L239" s="229">
        <f>IFERROR(__xludf.DUMMYFUNCTION("""COMPUTED_VALUE"""),366300.0)</f>
        <v>366300</v>
      </c>
      <c r="M239" s="211" t="s">
        <v>1166</v>
      </c>
      <c r="N239" s="205" t="s">
        <v>1138</v>
      </c>
      <c r="O239" s="199">
        <f t="shared" si="15"/>
        <v>366300</v>
      </c>
      <c r="P239" s="211" t="s">
        <v>1166</v>
      </c>
      <c r="Q239" s="250">
        <v>2500.0</v>
      </c>
      <c r="R239" s="199">
        <f t="shared" si="3"/>
        <v>0</v>
      </c>
      <c r="S239" s="200"/>
      <c r="T239" s="201"/>
      <c r="U239" s="46" t="s">
        <v>1167</v>
      </c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</row>
    <row r="240" ht="15.75" hidden="1" customHeight="1">
      <c r="A240" s="190"/>
      <c r="B240" s="190"/>
      <c r="C240" s="60" t="str">
        <f>IFERROR(__xludf.DUMMYFUNCTION("""COMPUTED_VALUE"""),"Bensin dan entertain rsud cibinong")</f>
        <v>Bensin dan entertain rsud cibinong</v>
      </c>
      <c r="D240" s="73"/>
      <c r="E240" s="221"/>
      <c r="F240" s="73"/>
      <c r="G240" s="73"/>
      <c r="H240" s="59"/>
      <c r="I240" s="24">
        <f>IFERROR(__xludf.DUMMYFUNCTION("""COMPUTED_VALUE"""),742500.0)</f>
        <v>742500</v>
      </c>
      <c r="J240" s="227"/>
      <c r="K240" s="228"/>
      <c r="L240" s="229">
        <f>IFERROR(__xludf.DUMMYFUNCTION("""COMPUTED_VALUE"""),742500.0)</f>
        <v>742500</v>
      </c>
      <c r="M240" s="211" t="s">
        <v>1166</v>
      </c>
      <c r="N240" s="205" t="s">
        <v>1138</v>
      </c>
      <c r="O240" s="199">
        <f t="shared" si="15"/>
        <v>742500</v>
      </c>
      <c r="P240" s="211" t="s">
        <v>1166</v>
      </c>
      <c r="Q240" s="222"/>
      <c r="R240" s="199">
        <f t="shared" si="3"/>
        <v>0</v>
      </c>
      <c r="S240" s="200"/>
      <c r="T240" s="201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</row>
    <row r="241" ht="15.75" hidden="1" customHeight="1">
      <c r="A241" s="190"/>
      <c r="B241" s="190"/>
      <c r="C241" s="60" t="str">
        <f>IFERROR(__xludf.DUMMYFUNCTION("""COMPUTED_VALUE"""),"Pembelian Laptop 4 (pkm pasir angin)")</f>
        <v>Pembelian Laptop 4 (pkm pasir angin)</v>
      </c>
      <c r="D241" s="73"/>
      <c r="E241" s="219" t="str">
        <f>IFERROR(__xludf.DUMMYFUNCTION("""COMPUTED_VALUE"""),"surat-pesanan-EP-01KAJD9AWQAHCSP25N9NYMFAGH PKM Pasir Angin laptop.pdf")</f>
        <v>surat-pesanan-EP-01KAJD9AWQAHCSP25N9NYMFAGH PKM Pasir Angin laptop.pdf</v>
      </c>
      <c r="F241" s="220" t="str">
        <f>IFERROR(__xludf.DUMMYFUNCTION("""COMPUTED_VALUE"""),"MPG-051225005 - AC (PKM PASIR ANGIN).pdf")</f>
        <v>MPG-051225005 - AC (PKM PASIR ANGIN).pdf</v>
      </c>
      <c r="G241" s="73"/>
      <c r="H241" s="59"/>
      <c r="I241" s="24">
        <f>IFERROR(__xludf.DUMMYFUNCTION("""COMPUTED_VALUE"""),4.14E7)</f>
        <v>41400000</v>
      </c>
      <c r="J241" s="227"/>
      <c r="K241" s="228"/>
      <c r="L241" s="229">
        <f>IFERROR(__xludf.DUMMYFUNCTION("""COMPUTED_VALUE"""),4.14E7)</f>
        <v>41400000</v>
      </c>
      <c r="M241" s="211" t="s">
        <v>1158</v>
      </c>
      <c r="N241" s="205" t="s">
        <v>1138</v>
      </c>
      <c r="O241" s="199">
        <f t="shared" si="15"/>
        <v>41400000</v>
      </c>
      <c r="P241" s="211" t="s">
        <v>1158</v>
      </c>
      <c r="Q241" s="211"/>
      <c r="R241" s="199">
        <f t="shared" si="3"/>
        <v>0</v>
      </c>
      <c r="S241" s="200"/>
      <c r="T241" s="201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</row>
    <row r="242" ht="15.75" hidden="1" customHeight="1">
      <c r="A242" s="190"/>
      <c r="B242" s="190"/>
      <c r="C242" s="60" t="str">
        <f>IFERROR(__xludf.DUMMYFUNCTION("""COMPUTED_VALUE"""),"Top Up Petty Cash")</f>
        <v>Top Up Petty Cash</v>
      </c>
      <c r="D242" s="73"/>
      <c r="E242" s="221"/>
      <c r="F242" s="73"/>
      <c r="G242" s="73"/>
      <c r="H242" s="59"/>
      <c r="I242" s="24">
        <f>IFERROR(__xludf.DUMMYFUNCTION("""COMPUTED_VALUE"""),5000000.0)</f>
        <v>5000000</v>
      </c>
      <c r="J242" s="227"/>
      <c r="K242" s="228"/>
      <c r="L242" s="229">
        <f>IFERROR(__xludf.DUMMYFUNCTION("""COMPUTED_VALUE"""),5000000.0)</f>
        <v>5000000</v>
      </c>
      <c r="M242" s="211" t="s">
        <v>1158</v>
      </c>
      <c r="N242" s="205" t="s">
        <v>1138</v>
      </c>
      <c r="O242" s="199">
        <f t="shared" si="15"/>
        <v>5000000</v>
      </c>
      <c r="P242" s="211" t="s">
        <v>1158</v>
      </c>
      <c r="Q242" s="250">
        <v>2500.0</v>
      </c>
      <c r="R242" s="199">
        <f t="shared" si="3"/>
        <v>0</v>
      </c>
      <c r="S242" s="200"/>
      <c r="T242" s="201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</row>
    <row r="243" ht="15.75" hidden="1" customHeight="1">
      <c r="A243" s="190"/>
      <c r="B243" s="190"/>
      <c r="C243" s="60" t="str">
        <f>IFERROR(__xludf.DUMMYFUNCTION("""COMPUTED_VALUE"""),"Pembelian lampu LED 20 watt (PKM Gandoang)")</f>
        <v>Pembelian lampu LED 20 watt (PKM Gandoang)</v>
      </c>
      <c r="D243" s="73"/>
      <c r="E243" s="219" t="str">
        <f>IFERROR(__xludf.DUMMYFUNCTION("""COMPUTED_VALUE"""),"surat-pesanan-EP-01KB451TGNYBXVPGQ9BA9QG80F PKM Gandoang lampu dan baterei.pdf")</f>
        <v>surat-pesanan-EP-01KB451TGNYBXVPGQ9BA9QG80F PKM Gandoang lampu dan baterei.pdf</v>
      </c>
      <c r="F243" s="73"/>
      <c r="G243" s="73"/>
      <c r="H243" s="59"/>
      <c r="I243" s="24">
        <f>IFERROR(__xludf.DUMMYFUNCTION("""COMPUTED_VALUE"""),145611.0)</f>
        <v>145611</v>
      </c>
      <c r="J243" s="227"/>
      <c r="K243" s="228"/>
      <c r="L243" s="229">
        <f>IFERROR(__xludf.DUMMYFUNCTION("""COMPUTED_VALUE"""),145611.0)</f>
        <v>145611</v>
      </c>
      <c r="M243" s="211" t="s">
        <v>1158</v>
      </c>
      <c r="N243" s="205" t="s">
        <v>1138</v>
      </c>
      <c r="O243" s="199">
        <f t="shared" si="15"/>
        <v>145611</v>
      </c>
      <c r="P243" s="211" t="s">
        <v>1158</v>
      </c>
      <c r="Q243" s="222"/>
      <c r="R243" s="199">
        <f t="shared" si="3"/>
        <v>0</v>
      </c>
      <c r="S243" s="200"/>
      <c r="T243" s="201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</row>
    <row r="244" ht="15.75" hidden="1" customHeight="1">
      <c r="A244" s="190"/>
      <c r="B244" s="190"/>
      <c r="C244" s="60" t="str">
        <f>IFERROR(__xludf.DUMMYFUNCTION("""COMPUTED_VALUE"""),"Pembelian baterai a3 a2 (pkm gandoang)")</f>
        <v>Pembelian baterai a3 a2 (pkm gandoang)</v>
      </c>
      <c r="D244" s="73"/>
      <c r="E244" s="219" t="str">
        <f>IFERROR(__xludf.DUMMYFUNCTION("""COMPUTED_VALUE"""),"surat-pesanan-EP-01KB451TGNYBXVPGQ9BA9QG80F PKM Gandoang lampu dan baterei.pdf")</f>
        <v>surat-pesanan-EP-01KB451TGNYBXVPGQ9BA9QG80F PKM Gandoang lampu dan baterei.pdf</v>
      </c>
      <c r="F244" s="73"/>
      <c r="G244" s="73"/>
      <c r="H244" s="59"/>
      <c r="I244" s="24">
        <f>IFERROR(__xludf.DUMMYFUNCTION("""COMPUTED_VALUE"""),984000.0)</f>
        <v>984000</v>
      </c>
      <c r="J244" s="227"/>
      <c r="K244" s="228"/>
      <c r="L244" s="229">
        <f>IFERROR(__xludf.DUMMYFUNCTION("""COMPUTED_VALUE"""),984000.0)</f>
        <v>984000</v>
      </c>
      <c r="M244" s="211" t="s">
        <v>1158</v>
      </c>
      <c r="N244" s="205" t="s">
        <v>1138</v>
      </c>
      <c r="O244" s="199">
        <f t="shared" si="15"/>
        <v>984000</v>
      </c>
      <c r="P244" s="211" t="s">
        <v>1158</v>
      </c>
      <c r="Q244" s="222"/>
      <c r="R244" s="199">
        <f t="shared" si="3"/>
        <v>0</v>
      </c>
      <c r="S244" s="200"/>
      <c r="T244" s="201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</row>
    <row r="245" ht="15.75" hidden="1" customHeight="1">
      <c r="A245" s="190"/>
      <c r="B245" s="190"/>
      <c r="C245" s="60" t="str">
        <f>IFERROR(__xludf.DUMMYFUNCTION("""COMPUTED_VALUE"""),"Pembelian Steker 6 Lubang (pkm gandoang)")</f>
        <v>Pembelian Steker 6 Lubang (pkm gandoang)</v>
      </c>
      <c r="D245" s="73"/>
      <c r="E245" s="219" t="str">
        <f>IFERROR(__xludf.DUMMYFUNCTION("""COMPUTED_VALUE"""),"surat-pesanan-EP-01KB451TGNYBXVPGQ9BA9QG80F PKM Gandoang lampu dan baterei.pdf")</f>
        <v>surat-pesanan-EP-01KB451TGNYBXVPGQ9BA9QG80F PKM Gandoang lampu dan baterei.pdf</v>
      </c>
      <c r="F245" s="73"/>
      <c r="G245" s="73"/>
      <c r="H245" s="59"/>
      <c r="I245" s="24">
        <f>IFERROR(__xludf.DUMMYFUNCTION("""COMPUTED_VALUE"""),562000.0)</f>
        <v>562000</v>
      </c>
      <c r="J245" s="227"/>
      <c r="K245" s="228"/>
      <c r="L245" s="229">
        <f>IFERROR(__xludf.DUMMYFUNCTION("""COMPUTED_VALUE"""),562000.0)</f>
        <v>562000</v>
      </c>
      <c r="M245" s="211" t="s">
        <v>1158</v>
      </c>
      <c r="N245" s="205" t="s">
        <v>1138</v>
      </c>
      <c r="O245" s="199">
        <f t="shared" si="15"/>
        <v>562000</v>
      </c>
      <c r="P245" s="211" t="s">
        <v>1158</v>
      </c>
      <c r="Q245" s="222"/>
      <c r="R245" s="199">
        <f t="shared" si="3"/>
        <v>0</v>
      </c>
      <c r="S245" s="200"/>
      <c r="T245" s="201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</row>
    <row r="246" ht="15.75" hidden="1" customHeight="1">
      <c r="A246" s="190"/>
      <c r="B246" s="190"/>
      <c r="C246" s="60" t="str">
        <f>IFERROR(__xludf.DUMMYFUNCTION("""COMPUTED_VALUE"""),"Pembelian Senter led (pkm gandoang)")</f>
        <v>Pembelian Senter led (pkm gandoang)</v>
      </c>
      <c r="D246" s="73"/>
      <c r="E246" s="219" t="str">
        <f>IFERROR(__xludf.DUMMYFUNCTION("""COMPUTED_VALUE"""),"surat-pesanan-EP-01KB451TGNYBXVPGQ9BA9QG80F PKM Gandoang lampu dan baterei.pdf")</f>
        <v>surat-pesanan-EP-01KB451TGNYBXVPGQ9BA9QG80F PKM Gandoang lampu dan baterei.pdf</v>
      </c>
      <c r="F246" s="73"/>
      <c r="G246" s="73"/>
      <c r="H246" s="59"/>
      <c r="I246" s="24">
        <f>IFERROR(__xludf.DUMMYFUNCTION("""COMPUTED_VALUE"""),279000.0)</f>
        <v>279000</v>
      </c>
      <c r="J246" s="227"/>
      <c r="K246" s="228"/>
      <c r="L246" s="229">
        <f>IFERROR(__xludf.DUMMYFUNCTION("""COMPUTED_VALUE"""),279000.0)</f>
        <v>279000</v>
      </c>
      <c r="M246" s="211" t="s">
        <v>1158</v>
      </c>
      <c r="N246" s="205" t="s">
        <v>1138</v>
      </c>
      <c r="O246" s="199">
        <f t="shared" si="15"/>
        <v>279000</v>
      </c>
      <c r="P246" s="211" t="s">
        <v>1158</v>
      </c>
      <c r="Q246" s="222"/>
      <c r="R246" s="199">
        <f t="shared" si="3"/>
        <v>0</v>
      </c>
      <c r="S246" s="200"/>
      <c r="T246" s="201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</row>
    <row r="247" ht="15.75" hidden="1" customHeight="1">
      <c r="A247" s="190"/>
      <c r="B247" s="190"/>
      <c r="C247" s="60" t="str">
        <f>IFERROR(__xludf.DUMMYFUNCTION("""COMPUTED_VALUE"""),"Pembelian lampu 22 watt (pkm gandoang)")</f>
        <v>Pembelian lampu 22 watt (pkm gandoang)</v>
      </c>
      <c r="D247" s="73"/>
      <c r="E247" s="219" t="str">
        <f>IFERROR(__xludf.DUMMYFUNCTION("""COMPUTED_VALUE"""),"surat-pesanan-EP-01KB451TGNYBXVPGQ9BA9QG80F PKM Gandoang lampu dan baterei.pdf")</f>
        <v>surat-pesanan-EP-01KB451TGNYBXVPGQ9BA9QG80F PKM Gandoang lampu dan baterei.pdf</v>
      </c>
      <c r="F247" s="73"/>
      <c r="G247" s="73"/>
      <c r="H247" s="59"/>
      <c r="I247" s="24">
        <f>IFERROR(__xludf.DUMMYFUNCTION("""COMPUTED_VALUE"""),304960.0)</f>
        <v>304960</v>
      </c>
      <c r="J247" s="227"/>
      <c r="K247" s="228"/>
      <c r="L247" s="229">
        <f>IFERROR(__xludf.DUMMYFUNCTION("""COMPUTED_VALUE"""),304960.0)</f>
        <v>304960</v>
      </c>
      <c r="M247" s="211" t="s">
        <v>1158</v>
      </c>
      <c r="N247" s="205" t="s">
        <v>1138</v>
      </c>
      <c r="O247" s="199">
        <f t="shared" si="15"/>
        <v>304960</v>
      </c>
      <c r="P247" s="211" t="s">
        <v>1158</v>
      </c>
      <c r="Q247" s="222"/>
      <c r="R247" s="199">
        <f t="shared" si="3"/>
        <v>0</v>
      </c>
      <c r="S247" s="200"/>
      <c r="T247" s="201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</row>
    <row r="248" ht="15.75" hidden="1" customHeight="1">
      <c r="A248" s="190"/>
      <c r="B248" s="190"/>
      <c r="C248" s="60" t="str">
        <f>IFERROR(__xludf.DUMMYFUNCTION("""COMPUTED_VALUE"""),"Tonner Printer november")</f>
        <v>Tonner Printer november</v>
      </c>
      <c r="D248" s="73"/>
      <c r="E248" s="221"/>
      <c r="F248" s="73"/>
      <c r="G248" s="73"/>
      <c r="H248" s="59"/>
      <c r="I248" s="24">
        <f>IFERROR(__xludf.DUMMYFUNCTION("""COMPUTED_VALUE"""),2500000.0)</f>
        <v>2500000</v>
      </c>
      <c r="J248" s="227"/>
      <c r="K248" s="228"/>
      <c r="L248" s="229">
        <f>IFERROR(__xludf.DUMMYFUNCTION("""COMPUTED_VALUE"""),2500000.0)</f>
        <v>2500000</v>
      </c>
      <c r="M248" s="211" t="s">
        <v>1158</v>
      </c>
      <c r="N248" s="205" t="s">
        <v>1138</v>
      </c>
      <c r="O248" s="199">
        <f t="shared" si="15"/>
        <v>2500000</v>
      </c>
      <c r="P248" s="211" t="s">
        <v>1158</v>
      </c>
      <c r="Q248" s="222"/>
      <c r="R248" s="199">
        <f t="shared" si="3"/>
        <v>0</v>
      </c>
      <c r="S248" s="200"/>
      <c r="T248" s="201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</row>
    <row r="249" ht="15.75" hidden="1" customHeight="1">
      <c r="A249" s="190"/>
      <c r="B249" s="190"/>
      <c r="C249" s="60" t="str">
        <f>IFERROR(__xludf.DUMMYFUNCTION("""COMPUTED_VALUE"""),"Biznet Desember")</f>
        <v>Biznet Desember</v>
      </c>
      <c r="D249" s="73"/>
      <c r="E249" s="221"/>
      <c r="F249" s="73"/>
      <c r="G249" s="73"/>
      <c r="H249" s="59"/>
      <c r="I249" s="24">
        <f>IFERROR(__xludf.DUMMYFUNCTION("""COMPUTED_VALUE"""),1050000.0)</f>
        <v>1050000</v>
      </c>
      <c r="J249" s="227">
        <f>IFERROR(__xludf.DUMMYFUNCTION("""COMPUTED_VALUE"""),115500.0)</f>
        <v>115500</v>
      </c>
      <c r="K249" s="227">
        <f>IFERROR(__xludf.DUMMYFUNCTION("""COMPUTED_VALUE"""),21000.0)</f>
        <v>21000</v>
      </c>
      <c r="L249" s="229">
        <f>IFERROR(__xludf.DUMMYFUNCTION("""COMPUTED_VALUE"""),1144500.0)</f>
        <v>1144500</v>
      </c>
      <c r="M249" s="211" t="s">
        <v>1158</v>
      </c>
      <c r="N249" s="205" t="s">
        <v>1138</v>
      </c>
      <c r="O249" s="199">
        <f t="shared" si="15"/>
        <v>1144500</v>
      </c>
      <c r="P249" s="211" t="s">
        <v>1158</v>
      </c>
      <c r="Q249" s="222"/>
      <c r="R249" s="199">
        <f t="shared" si="3"/>
        <v>0</v>
      </c>
      <c r="S249" s="200"/>
      <c r="T249" s="201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</row>
    <row r="250" ht="15.75" hidden="1" customHeight="1">
      <c r="A250" s="190"/>
      <c r="B250" s="190"/>
      <c r="C250" s="60" t="str">
        <f>IFERROR(__xludf.DUMMYFUNCTION("""COMPUTED_VALUE"""),"Galon November")</f>
        <v>Galon November</v>
      </c>
      <c r="D250" s="73"/>
      <c r="E250" s="221"/>
      <c r="F250" s="73"/>
      <c r="G250" s="73"/>
      <c r="H250" s="59"/>
      <c r="I250" s="24">
        <f>IFERROR(__xludf.DUMMYFUNCTION("""COMPUTED_VALUE"""),539999.0)</f>
        <v>539999</v>
      </c>
      <c r="J250" s="227"/>
      <c r="K250" s="228"/>
      <c r="L250" s="229">
        <f>IFERROR(__xludf.DUMMYFUNCTION("""COMPUTED_VALUE"""),539999.0)</f>
        <v>539999</v>
      </c>
      <c r="M250" s="211" t="s">
        <v>1158</v>
      </c>
      <c r="N250" s="205" t="s">
        <v>1138</v>
      </c>
      <c r="O250" s="199">
        <f t="shared" si="15"/>
        <v>539999</v>
      </c>
      <c r="P250" s="258" t="s">
        <v>1158</v>
      </c>
      <c r="Q250" s="222"/>
      <c r="R250" s="199">
        <f t="shared" si="3"/>
        <v>0</v>
      </c>
      <c r="S250" s="200"/>
      <c r="T250" s="201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</row>
    <row r="251" ht="15.75" hidden="1" customHeight="1">
      <c r="A251" s="190"/>
      <c r="B251" s="190"/>
      <c r="C251" s="60" t="str">
        <f>IFERROR(__xludf.DUMMYFUNCTION("""COMPUTED_VALUE"""),"Pengajuan uang muka kibo pasang ac pkm pasir angin")</f>
        <v>Pengajuan uang muka kibo pasang ac pkm pasir angin</v>
      </c>
      <c r="D251" s="73"/>
      <c r="E251" s="221"/>
      <c r="F251" s="73"/>
      <c r="G251" s="73"/>
      <c r="H251" s="59"/>
      <c r="I251" s="24">
        <f>IFERROR(__xludf.DUMMYFUNCTION("""COMPUTED_VALUE"""),900000.0)</f>
        <v>900000</v>
      </c>
      <c r="J251" s="227"/>
      <c r="K251" s="228"/>
      <c r="L251" s="229">
        <f>IFERROR(__xludf.DUMMYFUNCTION("""COMPUTED_VALUE"""),900000.0)</f>
        <v>900000</v>
      </c>
      <c r="M251" s="211" t="s">
        <v>1158</v>
      </c>
      <c r="N251" s="205" t="s">
        <v>1138</v>
      </c>
      <c r="O251" s="199">
        <f t="shared" si="15"/>
        <v>900000</v>
      </c>
      <c r="P251" s="211" t="s">
        <v>1158</v>
      </c>
      <c r="Q251" s="222"/>
      <c r="R251" s="199">
        <f t="shared" si="3"/>
        <v>0</v>
      </c>
      <c r="S251" s="200"/>
      <c r="T251" s="201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</row>
    <row r="252" ht="15.75" hidden="1" customHeight="1">
      <c r="A252" s="190"/>
      <c r="B252" s="190"/>
      <c r="C252" s="60" t="str">
        <f>IFERROR(__xludf.DUMMYFUNCTION("""COMPUTED_VALUE"""),"DP BNPB")</f>
        <v>DP BNPB</v>
      </c>
      <c r="D252" s="73"/>
      <c r="E252" s="260"/>
      <c r="F252" s="114"/>
      <c r="G252" s="73"/>
      <c r="H252" s="59"/>
      <c r="I252" s="24">
        <f>IFERROR(__xludf.DUMMYFUNCTION("""COMPUTED_VALUE"""),1.275E8)</f>
        <v>127500000</v>
      </c>
      <c r="J252" s="227"/>
      <c r="K252" s="228"/>
      <c r="L252" s="229">
        <f>IFERROR(__xludf.DUMMYFUNCTION("""COMPUTED_VALUE"""),1.275E8)</f>
        <v>127500000</v>
      </c>
      <c r="M252" s="211" t="s">
        <v>1162</v>
      </c>
      <c r="N252" s="205" t="s">
        <v>1138</v>
      </c>
      <c r="O252" s="199">
        <f t="shared" si="15"/>
        <v>127500000</v>
      </c>
      <c r="P252" s="211" t="s">
        <v>1162</v>
      </c>
      <c r="Q252" s="222"/>
      <c r="R252" s="199">
        <f t="shared" si="3"/>
        <v>0</v>
      </c>
      <c r="S252" s="200"/>
      <c r="T252" s="201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</row>
    <row r="253" ht="15.75" hidden="1" customHeight="1">
      <c r="A253" s="190"/>
      <c r="B253" s="190"/>
      <c r="C253" s="60" t="str">
        <f>IFERROR(__xludf.DUMMYFUNCTION("""COMPUTED_VALUE"""),"Pelunasan BNPB")</f>
        <v>Pelunasan BNPB</v>
      </c>
      <c r="D253" s="73"/>
      <c r="E253" s="260"/>
      <c r="F253" s="114"/>
      <c r="G253" s="73"/>
      <c r="H253" s="59"/>
      <c r="I253" s="24">
        <f>IFERROR(__xludf.DUMMYFUNCTION("""COMPUTED_VALUE"""),1.275E8)</f>
        <v>127500000</v>
      </c>
      <c r="J253" s="227"/>
      <c r="K253" s="228"/>
      <c r="L253" s="229">
        <f>IFERROR(__xludf.DUMMYFUNCTION("""COMPUTED_VALUE"""),1.275E8)</f>
        <v>127500000</v>
      </c>
      <c r="M253" s="211" t="s">
        <v>1160</v>
      </c>
      <c r="N253" s="205" t="s">
        <v>1138</v>
      </c>
      <c r="O253" s="199">
        <f t="shared" si="15"/>
        <v>127500000</v>
      </c>
      <c r="P253" s="211" t="s">
        <v>1160</v>
      </c>
      <c r="Q253" s="222"/>
      <c r="R253" s="199">
        <f t="shared" si="3"/>
        <v>0</v>
      </c>
      <c r="S253" s="200"/>
      <c r="T253" s="201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</row>
    <row r="254" ht="15.75" hidden="1" customHeight="1">
      <c r="A254" s="190"/>
      <c r="B254" s="190"/>
      <c r="C254" s="93" t="s">
        <v>865</v>
      </c>
      <c r="D254" s="73"/>
      <c r="E254" s="261" t="s">
        <v>866</v>
      </c>
      <c r="F254" s="114"/>
      <c r="G254" s="73"/>
      <c r="H254" s="59"/>
      <c r="I254" s="76">
        <v>4317000.0</v>
      </c>
      <c r="J254" s="227"/>
      <c r="K254" s="228"/>
      <c r="L254" s="210">
        <v>4317000.0</v>
      </c>
      <c r="M254" s="211" t="s">
        <v>1164</v>
      </c>
      <c r="N254" s="205" t="s">
        <v>1138</v>
      </c>
      <c r="O254" s="199">
        <f t="shared" si="15"/>
        <v>4317000</v>
      </c>
      <c r="P254" s="211" t="s">
        <v>1164</v>
      </c>
      <c r="Q254" s="222"/>
      <c r="R254" s="199">
        <f t="shared" si="3"/>
        <v>0</v>
      </c>
      <c r="S254" s="200"/>
      <c r="T254" s="201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</row>
    <row r="255" ht="15.75" hidden="1" customHeight="1">
      <c r="A255" s="190"/>
      <c r="B255" s="190"/>
      <c r="C255" s="93" t="s">
        <v>868</v>
      </c>
      <c r="D255" s="73"/>
      <c r="E255" s="261" t="s">
        <v>869</v>
      </c>
      <c r="F255" s="115" t="s">
        <v>870</v>
      </c>
      <c r="G255" s="73"/>
      <c r="H255" s="59"/>
      <c r="I255" s="65">
        <v>5062500.0</v>
      </c>
      <c r="J255" s="227"/>
      <c r="K255" s="228"/>
      <c r="L255" s="210">
        <v>5062500.0</v>
      </c>
      <c r="M255" s="224">
        <v>45973.0</v>
      </c>
      <c r="N255" s="205" t="s">
        <v>1138</v>
      </c>
      <c r="O255" s="199">
        <f t="shared" si="15"/>
        <v>5062500</v>
      </c>
      <c r="P255" s="224">
        <v>45973.0</v>
      </c>
      <c r="Q255" s="222"/>
      <c r="R255" s="199">
        <f t="shared" si="3"/>
        <v>0</v>
      </c>
      <c r="S255" s="200"/>
      <c r="T255" s="201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</row>
    <row r="256" ht="15.75" hidden="1" customHeight="1">
      <c r="A256" s="190"/>
      <c r="B256" s="190"/>
      <c r="C256" s="93" t="s">
        <v>868</v>
      </c>
      <c r="D256" s="73"/>
      <c r="E256" s="261" t="s">
        <v>873</v>
      </c>
      <c r="F256" s="115" t="s">
        <v>874</v>
      </c>
      <c r="G256" s="73"/>
      <c r="H256" s="59"/>
      <c r="I256" s="65">
        <v>6750000.0</v>
      </c>
      <c r="J256" s="227"/>
      <c r="K256" s="228"/>
      <c r="L256" s="210">
        <v>6750000.0</v>
      </c>
      <c r="M256" s="224">
        <v>45973.0</v>
      </c>
      <c r="N256" s="205" t="s">
        <v>1138</v>
      </c>
      <c r="O256" s="199">
        <f t="shared" si="15"/>
        <v>6750000</v>
      </c>
      <c r="P256" s="224">
        <v>45973.0</v>
      </c>
      <c r="Q256" s="222"/>
      <c r="R256" s="199">
        <f t="shared" si="3"/>
        <v>0</v>
      </c>
      <c r="S256" s="200"/>
      <c r="T256" s="201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</row>
    <row r="257" ht="15.75" hidden="1" customHeight="1">
      <c r="A257" s="190"/>
      <c r="B257" s="190"/>
      <c r="C257" s="93" t="s">
        <v>877</v>
      </c>
      <c r="D257" s="73"/>
      <c r="E257" s="261" t="s">
        <v>694</v>
      </c>
      <c r="F257" s="115" t="s">
        <v>878</v>
      </c>
      <c r="G257" s="73"/>
      <c r="H257" s="59"/>
      <c r="I257" s="65">
        <v>8047500.0</v>
      </c>
      <c r="J257" s="227"/>
      <c r="K257" s="228"/>
      <c r="L257" s="210">
        <v>8047500.0</v>
      </c>
      <c r="M257" s="211" t="s">
        <v>1164</v>
      </c>
      <c r="N257" s="205" t="s">
        <v>1138</v>
      </c>
      <c r="O257" s="199">
        <f t="shared" si="15"/>
        <v>8047500</v>
      </c>
      <c r="P257" s="211" t="s">
        <v>1164</v>
      </c>
      <c r="Q257" s="250">
        <v>2500.0</v>
      </c>
      <c r="R257" s="199">
        <f t="shared" si="3"/>
        <v>0</v>
      </c>
      <c r="S257" s="200"/>
      <c r="T257" s="201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</row>
    <row r="258" ht="15.75" hidden="1" customHeight="1">
      <c r="A258" s="190"/>
      <c r="B258" s="190"/>
      <c r="C258" s="93" t="s">
        <v>881</v>
      </c>
      <c r="D258" s="73"/>
      <c r="E258" s="260"/>
      <c r="F258" s="114"/>
      <c r="G258" s="73"/>
      <c r="H258" s="59"/>
      <c r="I258" s="76">
        <v>1000000.0</v>
      </c>
      <c r="J258" s="227"/>
      <c r="K258" s="228"/>
      <c r="L258" s="210">
        <v>1000000.0</v>
      </c>
      <c r="M258" s="211" t="s">
        <v>1164</v>
      </c>
      <c r="N258" s="205" t="s">
        <v>1138</v>
      </c>
      <c r="O258" s="199">
        <f t="shared" si="15"/>
        <v>1000000</v>
      </c>
      <c r="P258" s="211" t="s">
        <v>1164</v>
      </c>
      <c r="Q258" s="222"/>
      <c r="R258" s="199">
        <f t="shared" si="3"/>
        <v>0</v>
      </c>
      <c r="S258" s="200"/>
      <c r="T258" s="201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</row>
    <row r="259" ht="15.75" hidden="1" customHeight="1">
      <c r="A259" s="190"/>
      <c r="B259" s="190"/>
      <c r="C259" s="93" t="s">
        <v>883</v>
      </c>
      <c r="D259" s="73"/>
      <c r="E259" s="260"/>
      <c r="F259" s="114"/>
      <c r="G259" s="73"/>
      <c r="H259" s="59"/>
      <c r="I259" s="76">
        <v>1018500.0</v>
      </c>
      <c r="J259" s="227"/>
      <c r="K259" s="228"/>
      <c r="L259" s="210">
        <v>1018500.0</v>
      </c>
      <c r="M259" s="211" t="s">
        <v>1164</v>
      </c>
      <c r="N259" s="205" t="s">
        <v>1138</v>
      </c>
      <c r="O259" s="199">
        <f t="shared" si="15"/>
        <v>1018500</v>
      </c>
      <c r="P259" s="211" t="s">
        <v>1164</v>
      </c>
      <c r="Q259" s="211"/>
      <c r="R259" s="199">
        <f t="shared" si="3"/>
        <v>0</v>
      </c>
      <c r="S259" s="200"/>
      <c r="T259" s="201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</row>
    <row r="260" ht="15.75" hidden="1" customHeight="1">
      <c r="A260" s="190"/>
      <c r="B260" s="190"/>
      <c r="C260" s="93" t="s">
        <v>885</v>
      </c>
      <c r="D260" s="73"/>
      <c r="E260" s="260"/>
      <c r="F260" s="114"/>
      <c r="G260" s="73"/>
      <c r="H260" s="59"/>
      <c r="I260" s="76">
        <v>1576281.0</v>
      </c>
      <c r="J260" s="227"/>
      <c r="K260" s="228"/>
      <c r="L260" s="210">
        <v>1576281.0</v>
      </c>
      <c r="M260" s="211" t="s">
        <v>1164</v>
      </c>
      <c r="N260" s="205" t="s">
        <v>1138</v>
      </c>
      <c r="O260" s="199">
        <f t="shared" si="15"/>
        <v>1576281</v>
      </c>
      <c r="P260" s="211" t="s">
        <v>1164</v>
      </c>
      <c r="Q260" s="222"/>
      <c r="R260" s="199">
        <f t="shared" si="3"/>
        <v>0</v>
      </c>
      <c r="S260" s="200"/>
      <c r="T260" s="201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</row>
    <row r="261" ht="15.75" hidden="1" customHeight="1">
      <c r="A261" s="190"/>
      <c r="B261" s="190"/>
      <c r="C261" s="93" t="s">
        <v>887</v>
      </c>
      <c r="D261" s="73"/>
      <c r="E261" s="261" t="s">
        <v>888</v>
      </c>
      <c r="F261" s="92" t="s">
        <v>889</v>
      </c>
      <c r="G261" s="73"/>
      <c r="H261" s="59"/>
      <c r="I261" s="76">
        <v>1198000.0</v>
      </c>
      <c r="J261" s="227"/>
      <c r="K261" s="228"/>
      <c r="L261" s="210">
        <v>1198000.0</v>
      </c>
      <c r="M261" s="211" t="s">
        <v>1164</v>
      </c>
      <c r="N261" s="205" t="s">
        <v>1138</v>
      </c>
      <c r="O261" s="199">
        <f t="shared" si="15"/>
        <v>1198000</v>
      </c>
      <c r="P261" s="211" t="s">
        <v>1164</v>
      </c>
      <c r="Q261" s="222"/>
      <c r="R261" s="199">
        <f t="shared" si="3"/>
        <v>0</v>
      </c>
      <c r="S261" s="200"/>
      <c r="T261" s="201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</row>
    <row r="262" ht="15.75" hidden="1" customHeight="1">
      <c r="A262" s="190"/>
      <c r="B262" s="190"/>
      <c r="C262" s="93" t="s">
        <v>892</v>
      </c>
      <c r="D262" s="73"/>
      <c r="E262" s="261" t="s">
        <v>888</v>
      </c>
      <c r="F262" s="114"/>
      <c r="G262" s="73"/>
      <c r="H262" s="59"/>
      <c r="I262" s="76">
        <v>1950000.0</v>
      </c>
      <c r="J262" s="227"/>
      <c r="K262" s="228"/>
      <c r="L262" s="210">
        <v>1950000.0</v>
      </c>
      <c r="M262" s="211" t="s">
        <v>1164</v>
      </c>
      <c r="N262" s="205" t="s">
        <v>1138</v>
      </c>
      <c r="O262" s="199">
        <f t="shared" si="15"/>
        <v>1950000</v>
      </c>
      <c r="P262" s="211" t="s">
        <v>1164</v>
      </c>
      <c r="Q262" s="222"/>
      <c r="R262" s="199">
        <f t="shared" si="3"/>
        <v>0</v>
      </c>
      <c r="S262" s="200"/>
      <c r="T262" s="201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</row>
    <row r="263" ht="15.75" hidden="1" customHeight="1">
      <c r="A263" s="190"/>
      <c r="B263" s="190"/>
      <c r="C263" s="93" t="s">
        <v>895</v>
      </c>
      <c r="D263" s="73"/>
      <c r="E263" s="261" t="s">
        <v>888</v>
      </c>
      <c r="F263" s="114"/>
      <c r="G263" s="73"/>
      <c r="H263" s="59"/>
      <c r="I263" s="76">
        <v>101900.0</v>
      </c>
      <c r="J263" s="227"/>
      <c r="K263" s="228"/>
      <c r="L263" s="210">
        <v>101900.0</v>
      </c>
      <c r="M263" s="211" t="s">
        <v>1164</v>
      </c>
      <c r="N263" s="205" t="s">
        <v>1138</v>
      </c>
      <c r="O263" s="199">
        <f t="shared" si="15"/>
        <v>101900</v>
      </c>
      <c r="P263" s="211" t="s">
        <v>1164</v>
      </c>
      <c r="Q263" s="222"/>
      <c r="R263" s="199">
        <f t="shared" si="3"/>
        <v>0</v>
      </c>
      <c r="S263" s="200"/>
      <c r="T263" s="201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</row>
    <row r="264" ht="15.75" hidden="1" customHeight="1">
      <c r="A264" s="190"/>
      <c r="B264" s="190"/>
      <c r="C264" s="93" t="s">
        <v>899</v>
      </c>
      <c r="D264" s="73"/>
      <c r="E264" s="260"/>
      <c r="F264" s="114"/>
      <c r="G264" s="73"/>
      <c r="H264" s="59"/>
      <c r="I264" s="76">
        <v>5131400.0</v>
      </c>
      <c r="J264" s="227"/>
      <c r="K264" s="228"/>
      <c r="L264" s="210">
        <f t="shared" ref="L264:L267" si="16">I264</f>
        <v>5131400</v>
      </c>
      <c r="M264" s="211" t="s">
        <v>1164</v>
      </c>
      <c r="N264" s="205" t="s">
        <v>1138</v>
      </c>
      <c r="O264" s="199">
        <f t="shared" si="15"/>
        <v>5131400</v>
      </c>
      <c r="P264" s="211" t="s">
        <v>1164</v>
      </c>
      <c r="Q264" s="222"/>
      <c r="R264" s="199">
        <f t="shared" si="3"/>
        <v>0</v>
      </c>
      <c r="S264" s="200"/>
      <c r="T264" s="201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</row>
    <row r="265" ht="15.75" hidden="1" customHeight="1">
      <c r="A265" s="190"/>
      <c r="B265" s="190"/>
      <c r="C265" s="93" t="s">
        <v>900</v>
      </c>
      <c r="D265" s="73"/>
      <c r="E265" s="261" t="s">
        <v>901</v>
      </c>
      <c r="F265" s="115" t="s">
        <v>902</v>
      </c>
      <c r="G265" s="73"/>
      <c r="H265" s="59"/>
      <c r="I265" s="65">
        <v>972724.0</v>
      </c>
      <c r="J265" s="227"/>
      <c r="K265" s="228"/>
      <c r="L265" s="210">
        <f t="shared" si="16"/>
        <v>972724</v>
      </c>
      <c r="M265" s="211" t="s">
        <v>1168</v>
      </c>
      <c r="N265" s="205" t="s">
        <v>1138</v>
      </c>
      <c r="O265" s="199">
        <f t="shared" si="15"/>
        <v>972724</v>
      </c>
      <c r="P265" s="211" t="s">
        <v>1168</v>
      </c>
      <c r="Q265" s="250">
        <v>2500.0</v>
      </c>
      <c r="R265" s="199">
        <f t="shared" si="3"/>
        <v>0</v>
      </c>
      <c r="S265" s="200"/>
      <c r="T265" s="201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</row>
    <row r="266" ht="15.75" hidden="1" customHeight="1">
      <c r="A266" s="190"/>
      <c r="B266" s="190"/>
      <c r="C266" s="93" t="s">
        <v>905</v>
      </c>
      <c r="D266" s="73"/>
      <c r="E266" s="261" t="s">
        <v>901</v>
      </c>
      <c r="F266" s="115" t="s">
        <v>906</v>
      </c>
      <c r="G266" s="73"/>
      <c r="H266" s="59"/>
      <c r="I266" s="76">
        <v>2677500.0</v>
      </c>
      <c r="J266" s="227"/>
      <c r="K266" s="228"/>
      <c r="L266" s="210">
        <f t="shared" si="16"/>
        <v>2677500</v>
      </c>
      <c r="M266" s="211" t="s">
        <v>1163</v>
      </c>
      <c r="N266" s="205" t="s">
        <v>1138</v>
      </c>
      <c r="O266" s="199">
        <f t="shared" si="15"/>
        <v>2677500</v>
      </c>
      <c r="P266" s="211" t="s">
        <v>1163</v>
      </c>
      <c r="Q266" s="250">
        <v>2500.0</v>
      </c>
      <c r="R266" s="199">
        <f t="shared" si="3"/>
        <v>0</v>
      </c>
      <c r="S266" s="200"/>
      <c r="T266" s="201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</row>
    <row r="267" ht="15.75" hidden="1" customHeight="1">
      <c r="A267" s="190"/>
      <c r="B267" s="190"/>
      <c r="C267" s="93" t="s">
        <v>908</v>
      </c>
      <c r="D267" s="73"/>
      <c r="E267" s="261" t="s">
        <v>901</v>
      </c>
      <c r="F267" s="114"/>
      <c r="G267" s="73"/>
      <c r="H267" s="59"/>
      <c r="I267" s="76">
        <v>116715.0</v>
      </c>
      <c r="J267" s="227"/>
      <c r="K267" s="228"/>
      <c r="L267" s="210">
        <f t="shared" si="16"/>
        <v>116715</v>
      </c>
      <c r="M267" s="211" t="s">
        <v>1163</v>
      </c>
      <c r="N267" s="205" t="s">
        <v>1138</v>
      </c>
      <c r="O267" s="199">
        <f t="shared" si="15"/>
        <v>116715</v>
      </c>
      <c r="P267" s="211" t="s">
        <v>1163</v>
      </c>
      <c r="Q267" s="222"/>
      <c r="R267" s="199">
        <f t="shared" si="3"/>
        <v>0</v>
      </c>
      <c r="S267" s="200"/>
      <c r="T267" s="201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</row>
    <row r="268" ht="15.75" hidden="1" customHeight="1">
      <c r="A268" s="190"/>
      <c r="B268" s="190"/>
      <c r="C268" s="93" t="s">
        <v>910</v>
      </c>
      <c r="D268" s="73"/>
      <c r="E268" s="261" t="s">
        <v>901</v>
      </c>
      <c r="F268" s="114"/>
      <c r="G268" s="73"/>
      <c r="H268" s="59"/>
      <c r="I268" s="76">
        <v>27823.0</v>
      </c>
      <c r="J268" s="227"/>
      <c r="K268" s="228"/>
      <c r="L268" s="210">
        <v>27823.0</v>
      </c>
      <c r="M268" s="211" t="s">
        <v>1160</v>
      </c>
      <c r="N268" s="205" t="s">
        <v>1138</v>
      </c>
      <c r="O268" s="199">
        <f t="shared" si="15"/>
        <v>27823</v>
      </c>
      <c r="P268" s="211" t="s">
        <v>1160</v>
      </c>
      <c r="Q268" s="222"/>
      <c r="R268" s="199">
        <f t="shared" si="3"/>
        <v>0</v>
      </c>
      <c r="S268" s="200"/>
      <c r="T268" s="201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</row>
    <row r="269" ht="15.75" hidden="1" customHeight="1">
      <c r="A269" s="190"/>
      <c r="B269" s="190"/>
      <c r="C269" s="93" t="s">
        <v>912</v>
      </c>
      <c r="D269" s="73"/>
      <c r="E269" s="261" t="s">
        <v>901</v>
      </c>
      <c r="F269" s="114"/>
      <c r="G269" s="73"/>
      <c r="H269" s="59"/>
      <c r="I269" s="76">
        <v>106980.0</v>
      </c>
      <c r="J269" s="227"/>
      <c r="K269" s="228"/>
      <c r="L269" s="210">
        <v>106980.0</v>
      </c>
      <c r="M269" s="211" t="s">
        <v>1160</v>
      </c>
      <c r="N269" s="205" t="s">
        <v>1138</v>
      </c>
      <c r="O269" s="199">
        <f t="shared" si="15"/>
        <v>106980</v>
      </c>
      <c r="P269" s="211" t="s">
        <v>1160</v>
      </c>
      <c r="Q269" s="222"/>
      <c r="R269" s="199">
        <f t="shared" si="3"/>
        <v>0</v>
      </c>
      <c r="S269" s="200"/>
      <c r="T269" s="201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</row>
    <row r="270" ht="15.75" hidden="1" customHeight="1">
      <c r="A270" s="190"/>
      <c r="B270" s="190"/>
      <c r="C270" s="93" t="s">
        <v>914</v>
      </c>
      <c r="D270" s="73"/>
      <c r="E270" s="261" t="s">
        <v>901</v>
      </c>
      <c r="F270" s="114"/>
      <c r="G270" s="73"/>
      <c r="H270" s="59"/>
      <c r="I270" s="76">
        <v>116700.0</v>
      </c>
      <c r="J270" s="227"/>
      <c r="K270" s="228"/>
      <c r="L270" s="210">
        <v>116700.0</v>
      </c>
      <c r="M270" s="211" t="s">
        <v>1163</v>
      </c>
      <c r="N270" s="205" t="s">
        <v>1138</v>
      </c>
      <c r="O270" s="199">
        <f t="shared" si="15"/>
        <v>116700</v>
      </c>
      <c r="P270" s="211" t="s">
        <v>1163</v>
      </c>
      <c r="Q270" s="222"/>
      <c r="R270" s="199">
        <f t="shared" si="3"/>
        <v>0</v>
      </c>
      <c r="S270" s="200"/>
      <c r="T270" s="201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</row>
    <row r="271" ht="15.75" hidden="1" customHeight="1">
      <c r="A271" s="190"/>
      <c r="B271" s="190"/>
      <c r="C271" s="93" t="s">
        <v>916</v>
      </c>
      <c r="D271" s="73"/>
      <c r="E271" s="261" t="s">
        <v>901</v>
      </c>
      <c r="F271" s="114"/>
      <c r="G271" s="73"/>
      <c r="H271" s="59"/>
      <c r="I271" s="76">
        <v>175000.0</v>
      </c>
      <c r="J271" s="227"/>
      <c r="K271" s="228"/>
      <c r="L271" s="210">
        <v>175000.0</v>
      </c>
      <c r="M271" s="211" t="s">
        <v>1160</v>
      </c>
      <c r="N271" s="205" t="s">
        <v>1138</v>
      </c>
      <c r="O271" s="199">
        <f t="shared" si="15"/>
        <v>175000</v>
      </c>
      <c r="P271" s="211" t="s">
        <v>1160</v>
      </c>
      <c r="Q271" s="222"/>
      <c r="R271" s="199">
        <f t="shared" si="3"/>
        <v>0</v>
      </c>
      <c r="S271" s="200"/>
      <c r="T271" s="201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</row>
    <row r="272" ht="15.75" hidden="1" customHeight="1">
      <c r="A272" s="190"/>
      <c r="B272" s="190"/>
      <c r="C272" s="93" t="s">
        <v>918</v>
      </c>
      <c r="D272" s="73"/>
      <c r="E272" s="261" t="s">
        <v>919</v>
      </c>
      <c r="F272" s="115" t="s">
        <v>920</v>
      </c>
      <c r="G272" s="73"/>
      <c r="H272" s="59"/>
      <c r="I272" s="76">
        <v>1190000.0</v>
      </c>
      <c r="J272" s="227"/>
      <c r="K272" s="228"/>
      <c r="L272" s="210"/>
      <c r="M272" s="228"/>
      <c r="N272" s="205" t="s">
        <v>1138</v>
      </c>
      <c r="O272" s="199" t="str">
        <f t="shared" si="15"/>
        <v/>
      </c>
      <c r="P272" s="259"/>
      <c r="Q272" s="222"/>
      <c r="R272" s="199">
        <f t="shared" si="3"/>
        <v>0</v>
      </c>
      <c r="S272" s="200"/>
      <c r="T272" s="262" t="s">
        <v>1169</v>
      </c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</row>
    <row r="273" ht="15.75" hidden="1" customHeight="1">
      <c r="A273" s="190"/>
      <c r="B273" s="190"/>
      <c r="C273" s="93" t="s">
        <v>923</v>
      </c>
      <c r="D273" s="73"/>
      <c r="E273" s="260"/>
      <c r="F273" s="114"/>
      <c r="G273" s="73"/>
      <c r="H273" s="59"/>
      <c r="I273" s="76">
        <v>1000000.0</v>
      </c>
      <c r="J273" s="227"/>
      <c r="K273" s="228"/>
      <c r="L273" s="210">
        <v>1000000.0</v>
      </c>
      <c r="M273" s="211" t="s">
        <v>1163</v>
      </c>
      <c r="N273" s="205" t="s">
        <v>1138</v>
      </c>
      <c r="O273" s="199">
        <f t="shared" si="15"/>
        <v>1000000</v>
      </c>
      <c r="P273" s="211" t="s">
        <v>1163</v>
      </c>
      <c r="Q273" s="222"/>
      <c r="R273" s="199">
        <f t="shared" si="3"/>
        <v>0</v>
      </c>
      <c r="S273" s="200"/>
      <c r="T273" s="201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</row>
    <row r="274" ht="15.75" hidden="1" customHeight="1">
      <c r="A274" s="190"/>
      <c r="B274" s="190"/>
      <c r="C274" s="93" t="s">
        <v>926</v>
      </c>
      <c r="D274" s="73"/>
      <c r="E274" s="260"/>
      <c r="F274" s="114"/>
      <c r="G274" s="73"/>
      <c r="H274" s="59"/>
      <c r="I274" s="76">
        <v>1.0671E7</v>
      </c>
      <c r="J274" s="227"/>
      <c r="K274" s="228"/>
      <c r="L274" s="210">
        <v>1.0671E7</v>
      </c>
      <c r="M274" s="211" t="s">
        <v>1163</v>
      </c>
      <c r="N274" s="205" t="s">
        <v>1138</v>
      </c>
      <c r="O274" s="199">
        <f t="shared" si="15"/>
        <v>10671000</v>
      </c>
      <c r="P274" s="211" t="s">
        <v>1163</v>
      </c>
      <c r="Q274" s="222"/>
      <c r="R274" s="199">
        <f t="shared" si="3"/>
        <v>0</v>
      </c>
      <c r="S274" s="200"/>
      <c r="T274" s="201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</row>
    <row r="275" ht="15.75" hidden="1" customHeight="1">
      <c r="A275" s="190"/>
      <c r="B275" s="190"/>
      <c r="C275" s="93" t="s">
        <v>928</v>
      </c>
      <c r="D275" s="73"/>
      <c r="E275" s="260"/>
      <c r="F275" s="114"/>
      <c r="G275" s="73"/>
      <c r="H275" s="59"/>
      <c r="I275" s="76">
        <v>3626000.0</v>
      </c>
      <c r="J275" s="227"/>
      <c r="K275" s="228"/>
      <c r="L275" s="210">
        <v>3626000.0</v>
      </c>
      <c r="M275" s="211" t="s">
        <v>1170</v>
      </c>
      <c r="N275" s="205" t="s">
        <v>1138</v>
      </c>
      <c r="O275" s="199">
        <f t="shared" si="15"/>
        <v>3626000</v>
      </c>
      <c r="P275" s="211" t="s">
        <v>1170</v>
      </c>
      <c r="Q275" s="222"/>
      <c r="R275" s="199">
        <f t="shared" si="3"/>
        <v>0</v>
      </c>
      <c r="S275" s="200"/>
      <c r="T275" s="201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</row>
    <row r="276" ht="15.75" hidden="1" customHeight="1">
      <c r="A276" s="190"/>
      <c r="B276" s="190"/>
      <c r="C276" s="93" t="s">
        <v>930</v>
      </c>
      <c r="D276" s="73"/>
      <c r="E276" s="261" t="s">
        <v>931</v>
      </c>
      <c r="F276" s="115" t="s">
        <v>932</v>
      </c>
      <c r="G276" s="73"/>
      <c r="H276" s="59"/>
      <c r="I276" s="65">
        <v>5827500.0</v>
      </c>
      <c r="J276" s="227"/>
      <c r="K276" s="228"/>
      <c r="L276" s="210">
        <v>5827500.0</v>
      </c>
      <c r="M276" s="211" t="s">
        <v>1163</v>
      </c>
      <c r="N276" s="205" t="s">
        <v>1138</v>
      </c>
      <c r="O276" s="199">
        <f t="shared" si="15"/>
        <v>5827500</v>
      </c>
      <c r="P276" s="211" t="s">
        <v>1163</v>
      </c>
      <c r="Q276" s="250">
        <v>2500.0</v>
      </c>
      <c r="R276" s="199">
        <f t="shared" si="3"/>
        <v>0</v>
      </c>
      <c r="S276" s="200"/>
      <c r="T276" s="201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</row>
    <row r="277" ht="15.75" hidden="1" customHeight="1">
      <c r="A277" s="190"/>
      <c r="B277" s="190"/>
      <c r="C277" s="93" t="s">
        <v>934</v>
      </c>
      <c r="D277" s="73"/>
      <c r="E277" s="261" t="s">
        <v>931</v>
      </c>
      <c r="F277" s="115" t="s">
        <v>935</v>
      </c>
      <c r="G277" s="73"/>
      <c r="H277" s="59"/>
      <c r="I277" s="65">
        <v>2482848.0</v>
      </c>
      <c r="J277" s="227"/>
      <c r="K277" s="228"/>
      <c r="L277" s="210">
        <v>2482848.0</v>
      </c>
      <c r="M277" s="211" t="s">
        <v>1163</v>
      </c>
      <c r="N277" s="205" t="s">
        <v>1138</v>
      </c>
      <c r="O277" s="199">
        <f t="shared" si="15"/>
        <v>2482848</v>
      </c>
      <c r="P277" s="211" t="s">
        <v>1163</v>
      </c>
      <c r="Q277" s="222"/>
      <c r="R277" s="199">
        <f t="shared" si="3"/>
        <v>0</v>
      </c>
      <c r="S277" s="200"/>
      <c r="T277" s="201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</row>
    <row r="278" ht="15.75" hidden="1" customHeight="1">
      <c r="A278" s="190"/>
      <c r="B278" s="190"/>
      <c r="C278" s="93" t="s">
        <v>937</v>
      </c>
      <c r="D278" s="73"/>
      <c r="E278" s="261" t="s">
        <v>931</v>
      </c>
      <c r="F278" s="115" t="s">
        <v>938</v>
      </c>
      <c r="G278" s="73"/>
      <c r="H278" s="59"/>
      <c r="I278" s="65">
        <v>602523.0</v>
      </c>
      <c r="J278" s="227"/>
      <c r="K278" s="228"/>
      <c r="L278" s="210">
        <v>602523.0</v>
      </c>
      <c r="M278" s="211" t="s">
        <v>1171</v>
      </c>
      <c r="N278" s="205" t="s">
        <v>1138</v>
      </c>
      <c r="O278" s="199">
        <f t="shared" si="15"/>
        <v>602523</v>
      </c>
      <c r="P278" s="211" t="s">
        <v>1171</v>
      </c>
      <c r="Q278" s="222"/>
      <c r="R278" s="199">
        <f t="shared" si="3"/>
        <v>0</v>
      </c>
      <c r="S278" s="200"/>
      <c r="T278" s="201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</row>
    <row r="279" ht="15.75" hidden="1" customHeight="1">
      <c r="A279" s="190"/>
      <c r="B279" s="190"/>
      <c r="C279" s="93" t="s">
        <v>940</v>
      </c>
      <c r="D279" s="73"/>
      <c r="E279" s="261" t="s">
        <v>941</v>
      </c>
      <c r="F279" s="115" t="s">
        <v>942</v>
      </c>
      <c r="G279" s="73"/>
      <c r="H279" s="59"/>
      <c r="I279" s="76">
        <v>1020000.0</v>
      </c>
      <c r="J279" s="227"/>
      <c r="K279" s="228"/>
      <c r="L279" s="229">
        <f t="shared" ref="L279:L352" si="17">I279</f>
        <v>1020000</v>
      </c>
      <c r="M279" s="211" t="s">
        <v>1163</v>
      </c>
      <c r="N279" s="205" t="s">
        <v>1138</v>
      </c>
      <c r="O279" s="199">
        <f t="shared" si="15"/>
        <v>1020000</v>
      </c>
      <c r="P279" s="211" t="s">
        <v>1163</v>
      </c>
      <c r="Q279" s="250">
        <v>2500.0</v>
      </c>
      <c r="R279" s="199">
        <f t="shared" si="3"/>
        <v>0</v>
      </c>
      <c r="S279" s="200"/>
      <c r="T279" s="201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</row>
    <row r="280" ht="15.75" hidden="1" customHeight="1">
      <c r="A280" s="190"/>
      <c r="B280" s="190"/>
      <c r="C280" s="93" t="s">
        <v>944</v>
      </c>
      <c r="D280" s="73"/>
      <c r="E280" s="261" t="s">
        <v>941</v>
      </c>
      <c r="F280" s="92"/>
      <c r="G280" s="73"/>
      <c r="H280" s="59"/>
      <c r="I280" s="76">
        <v>830000.0</v>
      </c>
      <c r="J280" s="227"/>
      <c r="K280" s="228"/>
      <c r="L280" s="229">
        <f t="shared" si="17"/>
        <v>830000</v>
      </c>
      <c r="M280" s="211" t="s">
        <v>1153</v>
      </c>
      <c r="N280" s="205" t="s">
        <v>1138</v>
      </c>
      <c r="O280" s="199">
        <f t="shared" si="15"/>
        <v>830000</v>
      </c>
      <c r="P280" s="211" t="s">
        <v>1153</v>
      </c>
      <c r="Q280" s="222"/>
      <c r="R280" s="199">
        <f t="shared" si="3"/>
        <v>0</v>
      </c>
      <c r="S280" s="200"/>
      <c r="T280" s="201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</row>
    <row r="281" ht="15.75" hidden="1" customHeight="1">
      <c r="A281" s="190"/>
      <c r="B281" s="190"/>
      <c r="C281" s="93" t="s">
        <v>946</v>
      </c>
      <c r="D281" s="73"/>
      <c r="E281" s="261" t="s">
        <v>694</v>
      </c>
      <c r="F281" s="115" t="s">
        <v>947</v>
      </c>
      <c r="G281" s="73"/>
      <c r="H281" s="59"/>
      <c r="I281" s="65">
        <v>827616.0</v>
      </c>
      <c r="J281" s="227"/>
      <c r="K281" s="228"/>
      <c r="L281" s="229">
        <f t="shared" si="17"/>
        <v>827616</v>
      </c>
      <c r="M281" s="211" t="s">
        <v>1163</v>
      </c>
      <c r="N281" s="205" t="s">
        <v>1138</v>
      </c>
      <c r="O281" s="199">
        <f t="shared" si="15"/>
        <v>827616</v>
      </c>
      <c r="P281" s="211" t="s">
        <v>1163</v>
      </c>
      <c r="Q281" s="250">
        <v>2500.0</v>
      </c>
      <c r="R281" s="199">
        <f t="shared" si="3"/>
        <v>0</v>
      </c>
      <c r="S281" s="200"/>
      <c r="T281" s="201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</row>
    <row r="282" ht="15.75" hidden="1" customHeight="1">
      <c r="A282" s="190"/>
      <c r="B282" s="190"/>
      <c r="C282" s="93" t="s">
        <v>949</v>
      </c>
      <c r="D282" s="73"/>
      <c r="E282" s="260"/>
      <c r="F282" s="114"/>
      <c r="G282" s="73"/>
      <c r="H282" s="59"/>
      <c r="I282" s="76">
        <v>5000000.0</v>
      </c>
      <c r="J282" s="227"/>
      <c r="K282" s="228"/>
      <c r="L282" s="229">
        <f t="shared" si="17"/>
        <v>5000000</v>
      </c>
      <c r="M282" s="211" t="s">
        <v>1163</v>
      </c>
      <c r="N282" s="205" t="s">
        <v>1138</v>
      </c>
      <c r="O282" s="199">
        <f t="shared" si="15"/>
        <v>5000000</v>
      </c>
      <c r="P282" s="211" t="s">
        <v>1163</v>
      </c>
      <c r="Q282" s="222"/>
      <c r="R282" s="199">
        <f t="shared" si="3"/>
        <v>0</v>
      </c>
      <c r="S282" s="200"/>
      <c r="T282" s="201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</row>
    <row r="283" ht="15.75" hidden="1" customHeight="1">
      <c r="A283" s="190"/>
      <c r="B283" s="190"/>
      <c r="C283" s="93" t="s">
        <v>951</v>
      </c>
      <c r="D283" s="73"/>
      <c r="E283" s="260"/>
      <c r="F283" s="114"/>
      <c r="G283" s="73"/>
      <c r="H283" s="59"/>
      <c r="I283" s="76">
        <v>250000.0</v>
      </c>
      <c r="J283" s="227"/>
      <c r="K283" s="228"/>
      <c r="L283" s="229">
        <f t="shared" si="17"/>
        <v>250000</v>
      </c>
      <c r="M283" s="211" t="s">
        <v>1172</v>
      </c>
      <c r="N283" s="205" t="s">
        <v>1138</v>
      </c>
      <c r="O283" s="199">
        <f t="shared" si="15"/>
        <v>250000</v>
      </c>
      <c r="P283" s="211" t="s">
        <v>1172</v>
      </c>
      <c r="Q283" s="222"/>
      <c r="R283" s="199">
        <f t="shared" si="3"/>
        <v>0</v>
      </c>
      <c r="S283" s="200"/>
      <c r="T283" s="201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</row>
    <row r="284" ht="15.75" hidden="1" customHeight="1">
      <c r="A284" s="190"/>
      <c r="B284" s="190"/>
      <c r="C284" s="93" t="s">
        <v>953</v>
      </c>
      <c r="D284" s="73"/>
      <c r="E284" s="260"/>
      <c r="F284" s="114"/>
      <c r="G284" s="73"/>
      <c r="H284" s="59"/>
      <c r="I284" s="76">
        <v>5000000.0</v>
      </c>
      <c r="J284" s="227"/>
      <c r="K284" s="228"/>
      <c r="L284" s="229">
        <f t="shared" si="17"/>
        <v>5000000</v>
      </c>
      <c r="M284" s="211" t="s">
        <v>1172</v>
      </c>
      <c r="N284" s="205" t="s">
        <v>1138</v>
      </c>
      <c r="O284" s="199">
        <f t="shared" si="15"/>
        <v>5000000</v>
      </c>
      <c r="P284" s="211" t="s">
        <v>1172</v>
      </c>
      <c r="Q284" s="250">
        <v>2500.0</v>
      </c>
      <c r="R284" s="199">
        <f t="shared" si="3"/>
        <v>0</v>
      </c>
      <c r="S284" s="200"/>
      <c r="T284" s="201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</row>
    <row r="285" ht="15.75" hidden="1" customHeight="1">
      <c r="A285" s="190"/>
      <c r="B285" s="190"/>
      <c r="C285" s="93" t="s">
        <v>955</v>
      </c>
      <c r="D285" s="73"/>
      <c r="E285" s="261" t="s">
        <v>956</v>
      </c>
      <c r="F285" s="115" t="s">
        <v>957</v>
      </c>
      <c r="G285" s="73"/>
      <c r="H285" s="59"/>
      <c r="I285" s="76">
        <v>6750000.0</v>
      </c>
      <c r="J285" s="227"/>
      <c r="K285" s="228"/>
      <c r="L285" s="229">
        <f t="shared" si="17"/>
        <v>6750000</v>
      </c>
      <c r="M285" s="211" t="s">
        <v>1163</v>
      </c>
      <c r="N285" s="205" t="s">
        <v>1138</v>
      </c>
      <c r="O285" s="199">
        <f t="shared" si="15"/>
        <v>6750000</v>
      </c>
      <c r="P285" s="211" t="s">
        <v>1163</v>
      </c>
      <c r="Q285" s="222"/>
      <c r="R285" s="199">
        <f t="shared" si="3"/>
        <v>0</v>
      </c>
      <c r="S285" s="200"/>
      <c r="T285" s="201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</row>
    <row r="286" ht="15.75" hidden="1" customHeight="1">
      <c r="A286" s="190"/>
      <c r="B286" s="190"/>
      <c r="C286" s="93" t="s">
        <v>513</v>
      </c>
      <c r="D286" s="73"/>
      <c r="E286" s="260"/>
      <c r="F286" s="114"/>
      <c r="G286" s="73"/>
      <c r="H286" s="59"/>
      <c r="I286" s="76">
        <v>5000000.0</v>
      </c>
      <c r="J286" s="227"/>
      <c r="K286" s="228"/>
      <c r="L286" s="229">
        <f t="shared" si="17"/>
        <v>5000000</v>
      </c>
      <c r="M286" s="211" t="s">
        <v>1170</v>
      </c>
      <c r="N286" s="205" t="s">
        <v>1138</v>
      </c>
      <c r="O286" s="199">
        <f t="shared" si="15"/>
        <v>5000000</v>
      </c>
      <c r="P286" s="211" t="s">
        <v>1170</v>
      </c>
      <c r="Q286" s="250">
        <v>2500.0</v>
      </c>
      <c r="R286" s="199">
        <f t="shared" si="3"/>
        <v>0</v>
      </c>
      <c r="S286" s="200"/>
      <c r="T286" s="201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</row>
    <row r="287" ht="15.75" hidden="1" customHeight="1">
      <c r="A287" s="190"/>
      <c r="B287" s="190"/>
      <c r="C287" s="93" t="s">
        <v>960</v>
      </c>
      <c r="D287" s="73"/>
      <c r="E287" s="261" t="s">
        <v>888</v>
      </c>
      <c r="F287" s="114"/>
      <c r="G287" s="73"/>
      <c r="H287" s="59"/>
      <c r="I287" s="76">
        <v>431000.0</v>
      </c>
      <c r="J287" s="227"/>
      <c r="K287" s="228"/>
      <c r="L287" s="229">
        <f t="shared" si="17"/>
        <v>431000</v>
      </c>
      <c r="M287" s="211" t="s">
        <v>1170</v>
      </c>
      <c r="N287" s="205" t="s">
        <v>1138</v>
      </c>
      <c r="O287" s="199">
        <f t="shared" si="15"/>
        <v>431000</v>
      </c>
      <c r="P287" s="211" t="s">
        <v>1170</v>
      </c>
      <c r="Q287" s="222"/>
      <c r="R287" s="199">
        <f t="shared" si="3"/>
        <v>0</v>
      </c>
      <c r="S287" s="200"/>
      <c r="T287" s="201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</row>
    <row r="288" ht="15.75" hidden="1" customHeight="1">
      <c r="A288" s="190"/>
      <c r="B288" s="190"/>
      <c r="C288" s="93" t="s">
        <v>963</v>
      </c>
      <c r="D288" s="73"/>
      <c r="E288" s="261" t="s">
        <v>888</v>
      </c>
      <c r="F288" s="114"/>
      <c r="G288" s="73"/>
      <c r="H288" s="59"/>
      <c r="I288" s="76">
        <v>1084553.0</v>
      </c>
      <c r="J288" s="227"/>
      <c r="K288" s="228"/>
      <c r="L288" s="229">
        <f t="shared" si="17"/>
        <v>1084553</v>
      </c>
      <c r="M288" s="211" t="s">
        <v>1170</v>
      </c>
      <c r="N288" s="205" t="s">
        <v>1138</v>
      </c>
      <c r="O288" s="199">
        <f t="shared" si="15"/>
        <v>1084553</v>
      </c>
      <c r="P288" s="211" t="s">
        <v>1170</v>
      </c>
      <c r="Q288" s="222"/>
      <c r="R288" s="199">
        <f t="shared" si="3"/>
        <v>0</v>
      </c>
      <c r="S288" s="200"/>
      <c r="T288" s="201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</row>
    <row r="289" ht="15.75" hidden="1" customHeight="1">
      <c r="A289" s="190"/>
      <c r="B289" s="190"/>
      <c r="C289" s="93" t="s">
        <v>966</v>
      </c>
      <c r="D289" s="73"/>
      <c r="E289" s="260"/>
      <c r="F289" s="114"/>
      <c r="G289" s="73"/>
      <c r="H289" s="59"/>
      <c r="I289" s="76">
        <v>100000.0</v>
      </c>
      <c r="J289" s="227"/>
      <c r="K289" s="228"/>
      <c r="L289" s="229">
        <f t="shared" si="17"/>
        <v>100000</v>
      </c>
      <c r="M289" s="211" t="s">
        <v>1170</v>
      </c>
      <c r="N289" s="205" t="s">
        <v>1138</v>
      </c>
      <c r="O289" s="199">
        <f t="shared" si="15"/>
        <v>100000</v>
      </c>
      <c r="P289" s="211" t="s">
        <v>1170</v>
      </c>
      <c r="Q289" s="222"/>
      <c r="R289" s="199">
        <f t="shared" si="3"/>
        <v>0</v>
      </c>
      <c r="S289" s="200"/>
      <c r="T289" s="201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</row>
    <row r="290" ht="15.75" hidden="1" customHeight="1">
      <c r="A290" s="190"/>
      <c r="B290" s="190"/>
      <c r="C290" s="93" t="s">
        <v>968</v>
      </c>
      <c r="D290" s="73"/>
      <c r="E290" s="260"/>
      <c r="F290" s="114"/>
      <c r="G290" s="73"/>
      <c r="H290" s="59"/>
      <c r="I290" s="76">
        <v>262000.0</v>
      </c>
      <c r="J290" s="227"/>
      <c r="K290" s="228"/>
      <c r="L290" s="229">
        <f t="shared" si="17"/>
        <v>262000</v>
      </c>
      <c r="M290" s="211" t="s">
        <v>1170</v>
      </c>
      <c r="N290" s="205" t="s">
        <v>1138</v>
      </c>
      <c r="O290" s="199">
        <f t="shared" si="15"/>
        <v>262000</v>
      </c>
      <c r="P290" s="211" t="s">
        <v>1170</v>
      </c>
      <c r="Q290" s="222"/>
      <c r="R290" s="199">
        <f t="shared" si="3"/>
        <v>0</v>
      </c>
      <c r="S290" s="200"/>
      <c r="T290" s="201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</row>
    <row r="291" ht="15.75" hidden="1" customHeight="1">
      <c r="A291" s="190"/>
      <c r="B291" s="190"/>
      <c r="C291" s="93" t="s">
        <v>970</v>
      </c>
      <c r="D291" s="73"/>
      <c r="E291" s="260"/>
      <c r="F291" s="114"/>
      <c r="G291" s="73"/>
      <c r="H291" s="59"/>
      <c r="I291" s="76">
        <v>440000.0</v>
      </c>
      <c r="J291" s="227"/>
      <c r="K291" s="228"/>
      <c r="L291" s="229">
        <f t="shared" si="17"/>
        <v>440000</v>
      </c>
      <c r="M291" s="211" t="s">
        <v>1170</v>
      </c>
      <c r="N291" s="205" t="s">
        <v>1138</v>
      </c>
      <c r="O291" s="199">
        <f t="shared" si="15"/>
        <v>440000</v>
      </c>
      <c r="P291" s="211" t="s">
        <v>1170</v>
      </c>
      <c r="Q291" s="222"/>
      <c r="R291" s="199">
        <f t="shared" si="3"/>
        <v>0</v>
      </c>
      <c r="S291" s="200"/>
      <c r="T291" s="201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</row>
    <row r="292" ht="15.75" hidden="1" customHeight="1">
      <c r="A292" s="190"/>
      <c r="B292" s="190"/>
      <c r="C292" s="93" t="s">
        <v>972</v>
      </c>
      <c r="D292" s="73"/>
      <c r="E292" s="260"/>
      <c r="F292" s="114"/>
      <c r="G292" s="73"/>
      <c r="H292" s="59"/>
      <c r="I292" s="76">
        <v>436630.0</v>
      </c>
      <c r="J292" s="227"/>
      <c r="K292" s="228"/>
      <c r="L292" s="229">
        <f t="shared" si="17"/>
        <v>436630</v>
      </c>
      <c r="M292" s="211" t="s">
        <v>1170</v>
      </c>
      <c r="N292" s="205" t="s">
        <v>1138</v>
      </c>
      <c r="O292" s="199">
        <f t="shared" si="15"/>
        <v>436630</v>
      </c>
      <c r="P292" s="211" t="s">
        <v>1170</v>
      </c>
      <c r="Q292" s="250">
        <v>2500.0</v>
      </c>
      <c r="R292" s="199">
        <f t="shared" si="3"/>
        <v>0</v>
      </c>
      <c r="S292" s="200"/>
      <c r="T292" s="201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</row>
    <row r="293" ht="15.75" hidden="1" customHeight="1">
      <c r="A293" s="190"/>
      <c r="B293" s="190"/>
      <c r="C293" s="93" t="s">
        <v>974</v>
      </c>
      <c r="D293" s="73"/>
      <c r="E293" s="260"/>
      <c r="F293" s="114"/>
      <c r="G293" s="73"/>
      <c r="H293" s="59"/>
      <c r="I293" s="76">
        <v>1500072.0</v>
      </c>
      <c r="J293" s="227"/>
      <c r="K293" s="228"/>
      <c r="L293" s="229">
        <f t="shared" si="17"/>
        <v>1500072</v>
      </c>
      <c r="M293" s="211" t="s">
        <v>1170</v>
      </c>
      <c r="N293" s="205" t="s">
        <v>1138</v>
      </c>
      <c r="O293" s="199">
        <f t="shared" si="15"/>
        <v>1500072</v>
      </c>
      <c r="P293" s="211" t="s">
        <v>1170</v>
      </c>
      <c r="Q293" s="222"/>
      <c r="R293" s="199">
        <f t="shared" si="3"/>
        <v>0</v>
      </c>
      <c r="S293" s="200"/>
      <c r="T293" s="201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</row>
    <row r="294" ht="15.75" hidden="1" customHeight="1">
      <c r="A294" s="190"/>
      <c r="B294" s="190"/>
      <c r="C294" s="93" t="s">
        <v>976</v>
      </c>
      <c r="D294" s="73"/>
      <c r="E294" s="260"/>
      <c r="F294" s="114"/>
      <c r="G294" s="73"/>
      <c r="H294" s="59"/>
      <c r="I294" s="76">
        <v>345099.0</v>
      </c>
      <c r="J294" s="227"/>
      <c r="K294" s="228"/>
      <c r="L294" s="229">
        <f t="shared" si="17"/>
        <v>345099</v>
      </c>
      <c r="M294" s="211" t="s">
        <v>1170</v>
      </c>
      <c r="N294" s="205" t="s">
        <v>1138</v>
      </c>
      <c r="O294" s="199">
        <f t="shared" si="15"/>
        <v>345099</v>
      </c>
      <c r="P294" s="211" t="s">
        <v>1170</v>
      </c>
      <c r="Q294" s="211"/>
      <c r="R294" s="199">
        <f t="shared" si="3"/>
        <v>0</v>
      </c>
      <c r="S294" s="200"/>
      <c r="T294" s="201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</row>
    <row r="295" ht="15.75" hidden="1" customHeight="1">
      <c r="A295" s="190"/>
      <c r="B295" s="190"/>
      <c r="C295" s="93" t="s">
        <v>978</v>
      </c>
      <c r="D295" s="73"/>
      <c r="E295" s="261" t="s">
        <v>979</v>
      </c>
      <c r="F295" s="115" t="s">
        <v>980</v>
      </c>
      <c r="G295" s="73"/>
      <c r="H295" s="59"/>
      <c r="I295" s="76">
        <v>1.105E7</v>
      </c>
      <c r="J295" s="227"/>
      <c r="K295" s="228"/>
      <c r="L295" s="229">
        <f t="shared" si="17"/>
        <v>11050000</v>
      </c>
      <c r="M295" s="211" t="s">
        <v>1168</v>
      </c>
      <c r="N295" s="205" t="s">
        <v>1138</v>
      </c>
      <c r="O295" s="199">
        <f t="shared" si="15"/>
        <v>11050000</v>
      </c>
      <c r="P295" s="211" t="s">
        <v>1168</v>
      </c>
      <c r="Q295" s="250">
        <v>2500.0</v>
      </c>
      <c r="R295" s="199">
        <f t="shared" si="3"/>
        <v>0</v>
      </c>
      <c r="S295" s="200"/>
      <c r="T295" s="201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</row>
    <row r="296" ht="15.75" hidden="1" customHeight="1">
      <c r="A296" s="190"/>
      <c r="B296" s="190"/>
      <c r="C296" s="93" t="s">
        <v>982</v>
      </c>
      <c r="D296" s="73"/>
      <c r="E296" s="261" t="s">
        <v>979</v>
      </c>
      <c r="F296" s="115" t="s">
        <v>983</v>
      </c>
      <c r="G296" s="73"/>
      <c r="H296" s="59"/>
      <c r="I296" s="76">
        <v>7255000.0</v>
      </c>
      <c r="J296" s="227"/>
      <c r="K296" s="228"/>
      <c r="L296" s="229">
        <f t="shared" si="17"/>
        <v>7255000</v>
      </c>
      <c r="M296" s="211" t="s">
        <v>1153</v>
      </c>
      <c r="N296" s="205" t="s">
        <v>1138</v>
      </c>
      <c r="O296" s="199">
        <f t="shared" si="15"/>
        <v>7255000</v>
      </c>
      <c r="P296" s="211" t="s">
        <v>1153</v>
      </c>
      <c r="Q296" s="250">
        <v>2500.0</v>
      </c>
      <c r="R296" s="199">
        <f t="shared" si="3"/>
        <v>0</v>
      </c>
      <c r="S296" s="200"/>
      <c r="T296" s="201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</row>
    <row r="297" ht="15.75" hidden="1" customHeight="1">
      <c r="A297" s="190"/>
      <c r="B297" s="190"/>
      <c r="C297" s="93" t="s">
        <v>986</v>
      </c>
      <c r="D297" s="73"/>
      <c r="E297" s="261" t="s">
        <v>694</v>
      </c>
      <c r="F297" s="114"/>
      <c r="G297" s="73"/>
      <c r="H297" s="59"/>
      <c r="I297" s="76">
        <v>741000.0</v>
      </c>
      <c r="J297" s="227"/>
      <c r="K297" s="228"/>
      <c r="L297" s="229">
        <f t="shared" si="17"/>
        <v>741000</v>
      </c>
      <c r="M297" s="211" t="s">
        <v>1170</v>
      </c>
      <c r="N297" s="205" t="s">
        <v>1138</v>
      </c>
      <c r="O297" s="199">
        <f t="shared" si="15"/>
        <v>741000</v>
      </c>
      <c r="P297" s="211" t="s">
        <v>1170</v>
      </c>
      <c r="Q297" s="222"/>
      <c r="R297" s="199">
        <f t="shared" si="3"/>
        <v>0</v>
      </c>
      <c r="S297" s="200"/>
      <c r="T297" s="201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</row>
    <row r="298" ht="15.75" hidden="1" customHeight="1">
      <c r="A298" s="190"/>
      <c r="B298" s="190"/>
      <c r="C298" s="93" t="s">
        <v>989</v>
      </c>
      <c r="D298" s="73"/>
      <c r="E298" s="261" t="s">
        <v>694</v>
      </c>
      <c r="F298" s="114"/>
      <c r="G298" s="73"/>
      <c r="H298" s="59"/>
      <c r="I298" s="76">
        <v>595000.0</v>
      </c>
      <c r="J298" s="227"/>
      <c r="K298" s="228"/>
      <c r="L298" s="229">
        <f t="shared" si="17"/>
        <v>595000</v>
      </c>
      <c r="M298" s="211" t="s">
        <v>1170</v>
      </c>
      <c r="N298" s="205" t="s">
        <v>1138</v>
      </c>
      <c r="O298" s="199">
        <f t="shared" si="15"/>
        <v>595000</v>
      </c>
      <c r="P298" s="211" t="s">
        <v>1170</v>
      </c>
      <c r="Q298" s="222"/>
      <c r="R298" s="199">
        <f t="shared" si="3"/>
        <v>0</v>
      </c>
      <c r="S298" s="200"/>
      <c r="T298" s="201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</row>
    <row r="299" ht="15.75" hidden="1" customHeight="1">
      <c r="A299" s="190"/>
      <c r="B299" s="190"/>
      <c r="C299" s="93" t="s">
        <v>992</v>
      </c>
      <c r="D299" s="73"/>
      <c r="E299" s="261" t="s">
        <v>993</v>
      </c>
      <c r="F299" s="115" t="s">
        <v>994</v>
      </c>
      <c r="G299" s="73"/>
      <c r="H299" s="59"/>
      <c r="I299" s="76">
        <v>5441220.0</v>
      </c>
      <c r="J299" s="227"/>
      <c r="K299" s="228"/>
      <c r="L299" s="229">
        <f t="shared" si="17"/>
        <v>5441220</v>
      </c>
      <c r="M299" s="211" t="s">
        <v>1168</v>
      </c>
      <c r="N299" s="205" t="s">
        <v>1138</v>
      </c>
      <c r="O299" s="199">
        <f t="shared" si="15"/>
        <v>5441220</v>
      </c>
      <c r="P299" s="211" t="s">
        <v>1168</v>
      </c>
      <c r="Q299" s="250">
        <v>2500.0</v>
      </c>
      <c r="R299" s="199">
        <f t="shared" si="3"/>
        <v>0</v>
      </c>
      <c r="S299" s="200"/>
      <c r="T299" s="201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</row>
    <row r="300" ht="15.75" hidden="1" customHeight="1">
      <c r="A300" s="190"/>
      <c r="B300" s="190"/>
      <c r="C300" s="93" t="s">
        <v>997</v>
      </c>
      <c r="D300" s="73"/>
      <c r="E300" s="261" t="s">
        <v>998</v>
      </c>
      <c r="F300" s="115" t="s">
        <v>999</v>
      </c>
      <c r="G300" s="73"/>
      <c r="H300" s="59"/>
      <c r="I300" s="65">
        <v>1.50849E7</v>
      </c>
      <c r="J300" s="227"/>
      <c r="K300" s="228"/>
      <c r="L300" s="229">
        <f t="shared" si="17"/>
        <v>15084900</v>
      </c>
      <c r="M300" s="211" t="s">
        <v>1168</v>
      </c>
      <c r="N300" s="205" t="s">
        <v>1138</v>
      </c>
      <c r="O300" s="199">
        <f t="shared" si="15"/>
        <v>15084900</v>
      </c>
      <c r="P300" s="211" t="s">
        <v>1168</v>
      </c>
      <c r="Q300" s="222"/>
      <c r="R300" s="199">
        <f t="shared" si="3"/>
        <v>0</v>
      </c>
      <c r="S300" s="200"/>
      <c r="T300" s="201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</row>
    <row r="301" ht="15.75" hidden="1" customHeight="1">
      <c r="A301" s="190"/>
      <c r="B301" s="190"/>
      <c r="C301" s="93" t="s">
        <v>1003</v>
      </c>
      <c r="D301" s="73"/>
      <c r="E301" s="260"/>
      <c r="F301" s="114"/>
      <c r="G301" s="73"/>
      <c r="H301" s="59"/>
      <c r="I301" s="76">
        <v>1647000.0</v>
      </c>
      <c r="J301" s="227"/>
      <c r="K301" s="228"/>
      <c r="L301" s="229">
        <f t="shared" si="17"/>
        <v>1647000</v>
      </c>
      <c r="M301" s="211" t="s">
        <v>1168</v>
      </c>
      <c r="N301" s="205" t="s">
        <v>1138</v>
      </c>
      <c r="O301" s="199">
        <f t="shared" si="15"/>
        <v>1647000</v>
      </c>
      <c r="P301" s="211" t="s">
        <v>1168</v>
      </c>
      <c r="Q301" s="222"/>
      <c r="R301" s="199">
        <f t="shared" si="3"/>
        <v>0</v>
      </c>
      <c r="S301" s="200"/>
      <c r="T301" s="201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</row>
    <row r="302" ht="15.75" hidden="1" customHeight="1">
      <c r="A302" s="190"/>
      <c r="B302" s="190"/>
      <c r="C302" s="93" t="s">
        <v>1005</v>
      </c>
      <c r="D302" s="73"/>
      <c r="E302" s="260"/>
      <c r="F302" s="114"/>
      <c r="G302" s="73"/>
      <c r="H302" s="59"/>
      <c r="I302" s="65">
        <v>9542745.0</v>
      </c>
      <c r="J302" s="227"/>
      <c r="K302" s="228"/>
      <c r="L302" s="229">
        <f t="shared" si="17"/>
        <v>9542745</v>
      </c>
      <c r="M302" s="211" t="s">
        <v>1153</v>
      </c>
      <c r="N302" s="205" t="s">
        <v>1138</v>
      </c>
      <c r="O302" s="199">
        <f t="shared" si="15"/>
        <v>9542745</v>
      </c>
      <c r="P302" s="211" t="s">
        <v>1153</v>
      </c>
      <c r="Q302" s="222"/>
      <c r="R302" s="199">
        <f t="shared" si="3"/>
        <v>0</v>
      </c>
      <c r="S302" s="200"/>
      <c r="T302" s="201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</row>
    <row r="303" ht="15.75" hidden="1" customHeight="1">
      <c r="A303" s="190"/>
      <c r="B303" s="190"/>
      <c r="C303" s="93" t="s">
        <v>1008</v>
      </c>
      <c r="D303" s="73"/>
      <c r="E303" s="260"/>
      <c r="F303" s="114"/>
      <c r="G303" s="73"/>
      <c r="H303" s="59"/>
      <c r="I303" s="76">
        <v>6285745.0</v>
      </c>
      <c r="J303" s="227"/>
      <c r="K303" s="228"/>
      <c r="L303" s="229">
        <f t="shared" si="17"/>
        <v>6285745</v>
      </c>
      <c r="M303" s="211" t="s">
        <v>1153</v>
      </c>
      <c r="N303" s="205" t="s">
        <v>1138</v>
      </c>
      <c r="O303" s="199">
        <f t="shared" si="15"/>
        <v>6285745</v>
      </c>
      <c r="P303" s="211" t="s">
        <v>1153</v>
      </c>
      <c r="Q303" s="222"/>
      <c r="R303" s="199">
        <f t="shared" si="3"/>
        <v>0</v>
      </c>
      <c r="S303" s="200"/>
      <c r="T303" s="201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</row>
    <row r="304" ht="15.75" hidden="1" customHeight="1">
      <c r="A304" s="190"/>
      <c r="B304" s="190"/>
      <c r="C304" s="93" t="s">
        <v>1010</v>
      </c>
      <c r="D304" s="73"/>
      <c r="E304" s="260"/>
      <c r="F304" s="114"/>
      <c r="G304" s="73"/>
      <c r="H304" s="59"/>
      <c r="I304" s="76">
        <v>1235800.0</v>
      </c>
      <c r="J304" s="227"/>
      <c r="K304" s="228"/>
      <c r="L304" s="229">
        <f t="shared" si="17"/>
        <v>1235800</v>
      </c>
      <c r="M304" s="211" t="s">
        <v>1173</v>
      </c>
      <c r="N304" s="205" t="s">
        <v>1138</v>
      </c>
      <c r="O304" s="199">
        <f t="shared" si="15"/>
        <v>1235800</v>
      </c>
      <c r="P304" s="211" t="s">
        <v>1173</v>
      </c>
      <c r="Q304" s="222"/>
      <c r="R304" s="199">
        <f t="shared" si="3"/>
        <v>0</v>
      </c>
      <c r="S304" s="200"/>
      <c r="T304" s="201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</row>
    <row r="305" ht="15.75" hidden="1" customHeight="1">
      <c r="A305" s="190"/>
      <c r="B305" s="190"/>
      <c r="C305" s="93" t="s">
        <v>1012</v>
      </c>
      <c r="D305" s="73"/>
      <c r="E305" s="261" t="s">
        <v>1013</v>
      </c>
      <c r="F305" s="115" t="s">
        <v>1014</v>
      </c>
      <c r="G305" s="73"/>
      <c r="H305" s="59"/>
      <c r="I305" s="76">
        <v>5062500.0</v>
      </c>
      <c r="J305" s="227"/>
      <c r="K305" s="228"/>
      <c r="L305" s="229">
        <f t="shared" si="17"/>
        <v>5062500</v>
      </c>
      <c r="M305" s="211" t="s">
        <v>1168</v>
      </c>
      <c r="N305" s="205" t="s">
        <v>1138</v>
      </c>
      <c r="O305" s="199">
        <f t="shared" si="15"/>
        <v>5062500</v>
      </c>
      <c r="P305" s="211" t="s">
        <v>1168</v>
      </c>
      <c r="Q305" s="222"/>
      <c r="R305" s="199">
        <f t="shared" si="3"/>
        <v>0</v>
      </c>
      <c r="S305" s="200"/>
      <c r="T305" s="201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</row>
    <row r="306" ht="15.75" hidden="1" customHeight="1">
      <c r="A306" s="190"/>
      <c r="B306" s="190"/>
      <c r="C306" s="93" t="s">
        <v>1019</v>
      </c>
      <c r="D306" s="73"/>
      <c r="E306" s="261" t="s">
        <v>1020</v>
      </c>
      <c r="F306" s="115" t="s">
        <v>1174</v>
      </c>
      <c r="G306" s="73"/>
      <c r="H306" s="59"/>
      <c r="I306" s="76">
        <v>1654688.0</v>
      </c>
      <c r="J306" s="227"/>
      <c r="K306" s="228"/>
      <c r="L306" s="229">
        <f t="shared" si="17"/>
        <v>1654688</v>
      </c>
      <c r="M306" s="211" t="s">
        <v>1173</v>
      </c>
      <c r="N306" s="205" t="s">
        <v>1138</v>
      </c>
      <c r="O306" s="199">
        <f t="shared" si="15"/>
        <v>1654688</v>
      </c>
      <c r="P306" s="211" t="s">
        <v>1173</v>
      </c>
      <c r="Q306" s="222"/>
      <c r="R306" s="199">
        <f t="shared" si="3"/>
        <v>0</v>
      </c>
      <c r="S306" s="200"/>
      <c r="T306" s="201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</row>
    <row r="307" ht="15.75" hidden="1" customHeight="1">
      <c r="A307" s="190"/>
      <c r="B307" s="190"/>
      <c r="C307" s="93" t="s">
        <v>1022</v>
      </c>
      <c r="D307" s="73"/>
      <c r="E307" s="261" t="s">
        <v>1023</v>
      </c>
      <c r="F307" s="115" t="s">
        <v>1024</v>
      </c>
      <c r="G307" s="73"/>
      <c r="H307" s="59"/>
      <c r="I307" s="65">
        <v>1411920.0</v>
      </c>
      <c r="J307" s="227"/>
      <c r="K307" s="228"/>
      <c r="L307" s="229">
        <f t="shared" si="17"/>
        <v>1411920</v>
      </c>
      <c r="M307" s="211" t="s">
        <v>1173</v>
      </c>
      <c r="N307" s="205" t="s">
        <v>1138</v>
      </c>
      <c r="O307" s="199">
        <f t="shared" si="15"/>
        <v>1411920</v>
      </c>
      <c r="P307" s="211" t="s">
        <v>1173</v>
      </c>
      <c r="Q307" s="250">
        <v>2500.0</v>
      </c>
      <c r="R307" s="199">
        <f t="shared" si="3"/>
        <v>0</v>
      </c>
      <c r="S307" s="200" t="str">
        <f>IF(R307&gt;0,"ost","-")</f>
        <v>-</v>
      </c>
      <c r="T307" s="201" t="s">
        <v>508</v>
      </c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</row>
    <row r="308" ht="15.75" hidden="1" customHeight="1">
      <c r="A308" s="190"/>
      <c r="B308" s="190"/>
      <c r="C308" s="93" t="s">
        <v>1026</v>
      </c>
      <c r="D308" s="73"/>
      <c r="E308" s="221"/>
      <c r="F308" s="73"/>
      <c r="G308" s="263"/>
      <c r="H308" s="59"/>
      <c r="I308" s="76">
        <v>950000.0</v>
      </c>
      <c r="J308" s="264"/>
      <c r="K308" s="264"/>
      <c r="L308" s="229">
        <f t="shared" si="17"/>
        <v>950000</v>
      </c>
      <c r="M308" s="211" t="s">
        <v>1173</v>
      </c>
      <c r="N308" s="205" t="s">
        <v>1138</v>
      </c>
      <c r="O308" s="222">
        <f t="shared" si="15"/>
        <v>950000</v>
      </c>
      <c r="P308" s="211" t="s">
        <v>1173</v>
      </c>
      <c r="Q308" s="196">
        <v>2500.0</v>
      </c>
      <c r="R308" s="199">
        <f t="shared" si="3"/>
        <v>0</v>
      </c>
      <c r="S308" s="200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</row>
    <row r="309" ht="15.75" hidden="1" customHeight="1">
      <c r="A309" s="190"/>
      <c r="B309" s="190"/>
      <c r="C309" s="93" t="s">
        <v>513</v>
      </c>
      <c r="D309" s="73"/>
      <c r="E309" s="221"/>
      <c r="F309" s="73"/>
      <c r="G309" s="263"/>
      <c r="H309" s="59"/>
      <c r="I309" s="76">
        <v>5000000.0</v>
      </c>
      <c r="J309" s="264"/>
      <c r="K309" s="264"/>
      <c r="L309" s="229">
        <f t="shared" si="17"/>
        <v>5000000</v>
      </c>
      <c r="M309" s="211" t="s">
        <v>1175</v>
      </c>
      <c r="N309" s="205" t="s">
        <v>1138</v>
      </c>
      <c r="O309" s="222">
        <f t="shared" si="15"/>
        <v>5000000</v>
      </c>
      <c r="P309" s="211" t="s">
        <v>1175</v>
      </c>
      <c r="Q309" s="196">
        <v>2500.0</v>
      </c>
      <c r="R309" s="199">
        <f t="shared" si="3"/>
        <v>0</v>
      </c>
      <c r="S309" s="200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</row>
    <row r="310" ht="15.75" hidden="1" customHeight="1">
      <c r="A310" s="190"/>
      <c r="B310" s="190"/>
      <c r="C310" s="93" t="s">
        <v>1028</v>
      </c>
      <c r="D310" s="73"/>
      <c r="E310" s="221"/>
      <c r="F310" s="73"/>
      <c r="G310" s="263"/>
      <c r="H310" s="265"/>
      <c r="I310" s="76">
        <v>360000.0</v>
      </c>
      <c r="J310" s="264"/>
      <c r="K310" s="264"/>
      <c r="L310" s="229">
        <f t="shared" si="17"/>
        <v>360000</v>
      </c>
      <c r="M310" s="211" t="s">
        <v>1175</v>
      </c>
      <c r="N310" s="205" t="s">
        <v>1138</v>
      </c>
      <c r="O310" s="222">
        <f t="shared" si="15"/>
        <v>360000</v>
      </c>
      <c r="P310" s="211" t="s">
        <v>1175</v>
      </c>
      <c r="Q310" s="199"/>
      <c r="R310" s="199">
        <f t="shared" si="3"/>
        <v>0</v>
      </c>
      <c r="S310" s="200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</row>
    <row r="311" ht="15.75" hidden="1" customHeight="1">
      <c r="A311" s="190"/>
      <c r="B311" s="190"/>
      <c r="C311" s="93" t="s">
        <v>1030</v>
      </c>
      <c r="D311" s="73"/>
      <c r="E311" s="221"/>
      <c r="F311" s="73"/>
      <c r="G311" s="263"/>
      <c r="H311" s="59"/>
      <c r="I311" s="76">
        <v>539999.0</v>
      </c>
      <c r="J311" s="264"/>
      <c r="K311" s="264"/>
      <c r="L311" s="229">
        <f t="shared" si="17"/>
        <v>539999</v>
      </c>
      <c r="M311" s="211" t="s">
        <v>1175</v>
      </c>
      <c r="N311" s="205" t="s">
        <v>1138</v>
      </c>
      <c r="O311" s="222">
        <f t="shared" si="15"/>
        <v>539999</v>
      </c>
      <c r="P311" s="211" t="s">
        <v>1175</v>
      </c>
      <c r="Q311" s="199"/>
      <c r="R311" s="199">
        <f t="shared" si="3"/>
        <v>0</v>
      </c>
      <c r="S311" s="200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</row>
    <row r="312" ht="15.75" hidden="1" customHeight="1">
      <c r="A312" s="190"/>
      <c r="B312" s="190"/>
      <c r="C312" s="93" t="s">
        <v>1032</v>
      </c>
      <c r="D312" s="73"/>
      <c r="E312" s="221"/>
      <c r="F312" s="73"/>
      <c r="G312" s="263"/>
      <c r="H312" s="59"/>
      <c r="I312" s="76">
        <v>268000.0</v>
      </c>
      <c r="J312" s="264"/>
      <c r="K312" s="264"/>
      <c r="L312" s="229">
        <f t="shared" si="17"/>
        <v>268000</v>
      </c>
      <c r="M312" s="211" t="s">
        <v>1175</v>
      </c>
      <c r="N312" s="205" t="s">
        <v>1138</v>
      </c>
      <c r="O312" s="222">
        <f t="shared" si="15"/>
        <v>268000</v>
      </c>
      <c r="P312" s="211" t="s">
        <v>1175</v>
      </c>
      <c r="Q312" s="199"/>
      <c r="R312" s="199">
        <f t="shared" si="3"/>
        <v>0</v>
      </c>
      <c r="S312" s="200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</row>
    <row r="313" ht="15.75" hidden="1" customHeight="1">
      <c r="A313" s="190"/>
      <c r="B313" s="190"/>
      <c r="C313" s="93"/>
      <c r="D313" s="73"/>
      <c r="E313" s="221"/>
      <c r="F313" s="73"/>
      <c r="G313" s="263"/>
      <c r="H313" s="59"/>
      <c r="I313" s="76"/>
      <c r="J313" s="264"/>
      <c r="K313" s="264"/>
      <c r="L313" s="229" t="str">
        <f t="shared" si="17"/>
        <v/>
      </c>
      <c r="M313" s="211"/>
      <c r="N313" s="205"/>
      <c r="O313" s="222"/>
      <c r="P313" s="211"/>
      <c r="Q313" s="199"/>
      <c r="R313" s="199">
        <f t="shared" si="3"/>
        <v>0</v>
      </c>
      <c r="S313" s="200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</row>
    <row r="314" ht="15.75" hidden="1" customHeight="1">
      <c r="A314" s="190"/>
      <c r="B314" s="190"/>
      <c r="C314" s="93" t="s">
        <v>1036</v>
      </c>
      <c r="D314" s="73"/>
      <c r="E314" s="221"/>
      <c r="F314" s="73"/>
      <c r="G314" s="263"/>
      <c r="H314" s="59"/>
      <c r="I314" s="76">
        <v>855330.0</v>
      </c>
      <c r="J314" s="264"/>
      <c r="K314" s="264"/>
      <c r="L314" s="229">
        <f t="shared" si="17"/>
        <v>855330</v>
      </c>
      <c r="M314" s="211" t="s">
        <v>1175</v>
      </c>
      <c r="N314" s="205" t="s">
        <v>1138</v>
      </c>
      <c r="O314" s="222">
        <f>L314</f>
        <v>855330</v>
      </c>
      <c r="P314" s="211" t="s">
        <v>1175</v>
      </c>
      <c r="Q314" s="199"/>
      <c r="R314" s="199">
        <f t="shared" si="3"/>
        <v>0</v>
      </c>
      <c r="S314" s="200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</row>
    <row r="315" ht="15.75" customHeight="1">
      <c r="A315" s="190"/>
      <c r="B315" s="190"/>
      <c r="C315" s="93" t="s">
        <v>1038</v>
      </c>
      <c r="D315" s="73"/>
      <c r="E315" s="120" t="s">
        <v>1039</v>
      </c>
      <c r="F315" s="70" t="s">
        <v>1040</v>
      </c>
      <c r="G315" s="263"/>
      <c r="H315" s="59"/>
      <c r="I315" s="76">
        <v>1623242.0</v>
      </c>
      <c r="J315" s="264"/>
      <c r="K315" s="264"/>
      <c r="L315" s="229">
        <f t="shared" si="17"/>
        <v>1623242</v>
      </c>
      <c r="M315" s="211"/>
      <c r="N315" s="205" t="s">
        <v>1138</v>
      </c>
      <c r="O315" s="222"/>
      <c r="P315" s="266"/>
      <c r="Q315" s="199"/>
      <c r="R315" s="199">
        <f t="shared" si="3"/>
        <v>1623242</v>
      </c>
      <c r="S315" s="200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</row>
    <row r="316" ht="15.75" hidden="1" customHeight="1">
      <c r="A316" s="190"/>
      <c r="B316" s="190"/>
      <c r="C316" s="93" t="s">
        <v>1042</v>
      </c>
      <c r="D316" s="73"/>
      <c r="E316" s="120" t="s">
        <v>1039</v>
      </c>
      <c r="F316" s="70" t="s">
        <v>1043</v>
      </c>
      <c r="G316" s="263"/>
      <c r="H316" s="59"/>
      <c r="I316" s="76">
        <v>360000.0</v>
      </c>
      <c r="J316" s="264"/>
      <c r="K316" s="264"/>
      <c r="L316" s="229">
        <f t="shared" si="17"/>
        <v>360000</v>
      </c>
      <c r="M316" s="211" t="s">
        <v>1165</v>
      </c>
      <c r="N316" s="205" t="s">
        <v>1138</v>
      </c>
      <c r="O316" s="222">
        <f t="shared" ref="O316:O318" si="18">L316</f>
        <v>360000</v>
      </c>
      <c r="P316" s="211" t="s">
        <v>1165</v>
      </c>
      <c r="Q316" s="196">
        <v>2500.0</v>
      </c>
      <c r="R316" s="199">
        <f t="shared" si="3"/>
        <v>0</v>
      </c>
      <c r="S316" s="200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</row>
    <row r="317" ht="15.75" hidden="1" customHeight="1">
      <c r="A317" s="190"/>
      <c r="B317" s="190"/>
      <c r="C317" s="93" t="s">
        <v>1045</v>
      </c>
      <c r="D317" s="73"/>
      <c r="E317" s="221"/>
      <c r="F317" s="73"/>
      <c r="G317" s="263"/>
      <c r="H317" s="59"/>
      <c r="I317" s="76">
        <v>1270415.0</v>
      </c>
      <c r="J317" s="267">
        <v>178557.0</v>
      </c>
      <c r="K317" s="264"/>
      <c r="L317" s="229">
        <f t="shared" si="17"/>
        <v>1270415</v>
      </c>
      <c r="M317" s="211" t="s">
        <v>1165</v>
      </c>
      <c r="N317" s="205" t="s">
        <v>1138</v>
      </c>
      <c r="O317" s="222">
        <f t="shared" si="18"/>
        <v>1270415</v>
      </c>
      <c r="P317" s="211" t="s">
        <v>1165</v>
      </c>
      <c r="Q317" s="199"/>
      <c r="R317" s="199">
        <f t="shared" si="3"/>
        <v>0</v>
      </c>
      <c r="S317" s="200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</row>
    <row r="318" ht="15.75" hidden="1" customHeight="1">
      <c r="A318" s="190"/>
      <c r="B318" s="190"/>
      <c r="C318" s="93" t="s">
        <v>1047</v>
      </c>
      <c r="D318" s="73"/>
      <c r="E318" s="221"/>
      <c r="F318" s="73"/>
      <c r="G318" s="263"/>
      <c r="H318" s="59"/>
      <c r="I318" s="76">
        <v>365859.0</v>
      </c>
      <c r="J318" s="264"/>
      <c r="K318" s="264"/>
      <c r="L318" s="229">
        <f t="shared" si="17"/>
        <v>365859</v>
      </c>
      <c r="M318" s="211" t="s">
        <v>1165</v>
      </c>
      <c r="N318" s="205" t="s">
        <v>1138</v>
      </c>
      <c r="O318" s="222">
        <f t="shared" si="18"/>
        <v>365859</v>
      </c>
      <c r="P318" s="211" t="s">
        <v>1165</v>
      </c>
      <c r="Q318" s="199"/>
      <c r="R318" s="199">
        <f t="shared" si="3"/>
        <v>0</v>
      </c>
      <c r="S318" s="200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</row>
    <row r="319" ht="15.75" customHeight="1">
      <c r="A319" s="190"/>
      <c r="B319" s="190"/>
      <c r="C319" s="93" t="s">
        <v>1049</v>
      </c>
      <c r="D319" s="73"/>
      <c r="E319" s="120" t="s">
        <v>1050</v>
      </c>
      <c r="F319" s="70" t="s">
        <v>1051</v>
      </c>
      <c r="G319" s="263"/>
      <c r="H319" s="59"/>
      <c r="I319" s="76">
        <v>4.2279005E7</v>
      </c>
      <c r="J319" s="264"/>
      <c r="K319" s="264"/>
      <c r="L319" s="229">
        <f t="shared" si="17"/>
        <v>42279005</v>
      </c>
      <c r="M319" s="211"/>
      <c r="N319" s="205" t="s">
        <v>1138</v>
      </c>
      <c r="O319" s="222"/>
      <c r="P319" s="266"/>
      <c r="Q319" s="199"/>
      <c r="R319" s="199">
        <f t="shared" si="3"/>
        <v>42279005</v>
      </c>
      <c r="S319" s="200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</row>
    <row r="320" ht="15.75" customHeight="1">
      <c r="A320" s="190"/>
      <c r="B320" s="190"/>
      <c r="C320" s="93" t="s">
        <v>1054</v>
      </c>
      <c r="D320" s="73"/>
      <c r="E320" s="120" t="s">
        <v>1055</v>
      </c>
      <c r="F320" s="73"/>
      <c r="G320" s="263"/>
      <c r="H320" s="59"/>
      <c r="I320" s="76">
        <v>6036300.0</v>
      </c>
      <c r="J320" s="264"/>
      <c r="K320" s="264"/>
      <c r="L320" s="229">
        <f t="shared" si="17"/>
        <v>6036300</v>
      </c>
      <c r="M320" s="211"/>
      <c r="N320" s="205" t="s">
        <v>1138</v>
      </c>
      <c r="O320" s="222"/>
      <c r="P320" s="266"/>
      <c r="Q320" s="199"/>
      <c r="R320" s="199">
        <f t="shared" si="3"/>
        <v>6036300</v>
      </c>
      <c r="S320" s="200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</row>
    <row r="321" ht="15.75" hidden="1" customHeight="1">
      <c r="A321" s="190"/>
      <c r="B321" s="190"/>
      <c r="C321" s="93" t="s">
        <v>1057</v>
      </c>
      <c r="D321" s="73"/>
      <c r="E321" s="221"/>
      <c r="F321" s="70" t="s">
        <v>1058</v>
      </c>
      <c r="G321" s="263"/>
      <c r="H321" s="59"/>
      <c r="I321" s="76">
        <v>6750000.0</v>
      </c>
      <c r="J321" s="268"/>
      <c r="K321" s="269"/>
      <c r="L321" s="229">
        <f t="shared" si="17"/>
        <v>6750000</v>
      </c>
      <c r="M321" s="270">
        <v>46024.0</v>
      </c>
      <c r="N321" s="205" t="s">
        <v>1138</v>
      </c>
      <c r="O321" s="222">
        <f t="shared" ref="O321:O323" si="19">L321</f>
        <v>6750000</v>
      </c>
      <c r="P321" s="270">
        <v>46024.0</v>
      </c>
      <c r="Q321" s="199"/>
      <c r="R321" s="199">
        <f t="shared" si="3"/>
        <v>0</v>
      </c>
      <c r="S321" s="200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</row>
    <row r="322" ht="15.75" hidden="1" customHeight="1">
      <c r="A322" s="190"/>
      <c r="B322" s="190"/>
      <c r="C322" s="93" t="s">
        <v>1061</v>
      </c>
      <c r="D322" s="73"/>
      <c r="E322" s="221"/>
      <c r="F322" s="73"/>
      <c r="G322" s="263"/>
      <c r="H322" s="59"/>
      <c r="I322" s="76">
        <v>842000.0</v>
      </c>
      <c r="J322" s="268"/>
      <c r="K322" s="269"/>
      <c r="L322" s="229">
        <f t="shared" si="17"/>
        <v>842000</v>
      </c>
      <c r="M322" s="211" t="s">
        <v>1176</v>
      </c>
      <c r="N322" s="205" t="s">
        <v>1138</v>
      </c>
      <c r="O322" s="222">
        <f t="shared" si="19"/>
        <v>842000</v>
      </c>
      <c r="P322" s="211" t="s">
        <v>1176</v>
      </c>
      <c r="Q322" s="199"/>
      <c r="R322" s="199">
        <f t="shared" si="3"/>
        <v>0</v>
      </c>
      <c r="S322" s="200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</row>
    <row r="323" ht="15.75" hidden="1" customHeight="1">
      <c r="A323" s="190"/>
      <c r="B323" s="190"/>
      <c r="C323" s="93" t="s">
        <v>1062</v>
      </c>
      <c r="D323" s="73"/>
      <c r="E323" s="221"/>
      <c r="F323" s="73"/>
      <c r="G323" s="263"/>
      <c r="H323" s="59"/>
      <c r="I323" s="76">
        <v>677100.0</v>
      </c>
      <c r="J323" s="268"/>
      <c r="K323" s="269"/>
      <c r="L323" s="229">
        <f t="shared" si="17"/>
        <v>677100</v>
      </c>
      <c r="M323" s="211" t="s">
        <v>1176</v>
      </c>
      <c r="N323" s="205" t="s">
        <v>1138</v>
      </c>
      <c r="O323" s="222">
        <f t="shared" si="19"/>
        <v>677100</v>
      </c>
      <c r="P323" s="211" t="s">
        <v>1176</v>
      </c>
      <c r="Q323" s="199"/>
      <c r="R323" s="199">
        <f t="shared" si="3"/>
        <v>0</v>
      </c>
      <c r="S323" s="200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</row>
    <row r="324" ht="15.75" customHeight="1">
      <c r="A324" s="190"/>
      <c r="B324" s="190"/>
      <c r="C324" s="93" t="s">
        <v>1063</v>
      </c>
      <c r="D324" s="73"/>
      <c r="E324" s="221"/>
      <c r="F324" s="73"/>
      <c r="G324" s="263"/>
      <c r="H324" s="59"/>
      <c r="I324" s="76">
        <v>2000000.0</v>
      </c>
      <c r="J324" s="268"/>
      <c r="K324" s="269"/>
      <c r="L324" s="229">
        <f t="shared" si="17"/>
        <v>2000000</v>
      </c>
      <c r="M324" s="269"/>
      <c r="N324" s="205" t="s">
        <v>1138</v>
      </c>
      <c r="O324" s="222"/>
      <c r="P324" s="266"/>
      <c r="Q324" s="199"/>
      <c r="R324" s="199">
        <f t="shared" si="3"/>
        <v>2000000</v>
      </c>
      <c r="S324" s="200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</row>
    <row r="325" ht="15.75" hidden="1" customHeight="1">
      <c r="A325" s="190"/>
      <c r="B325" s="190"/>
      <c r="C325" s="93" t="s">
        <v>1065</v>
      </c>
      <c r="D325" s="73"/>
      <c r="E325" s="221"/>
      <c r="F325" s="73"/>
      <c r="G325" s="263"/>
      <c r="H325" s="59"/>
      <c r="I325" s="76">
        <v>1000000.0</v>
      </c>
      <c r="J325" s="268"/>
      <c r="K325" s="269"/>
      <c r="L325" s="229">
        <f t="shared" si="17"/>
        <v>1000000</v>
      </c>
      <c r="M325" s="270">
        <v>46027.0</v>
      </c>
      <c r="N325" s="205" t="s">
        <v>1138</v>
      </c>
      <c r="O325" s="222">
        <f>L325</f>
        <v>1000000</v>
      </c>
      <c r="P325" s="270">
        <v>46023.0</v>
      </c>
      <c r="Q325" s="199"/>
      <c r="R325" s="199">
        <f t="shared" si="3"/>
        <v>0</v>
      </c>
      <c r="S325" s="200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</row>
    <row r="326" ht="15.75" customHeight="1">
      <c r="A326" s="190"/>
      <c r="B326" s="190"/>
      <c r="C326" s="93" t="s">
        <v>1067</v>
      </c>
      <c r="D326" s="73"/>
      <c r="E326" s="120" t="s">
        <v>1068</v>
      </c>
      <c r="F326" s="70" t="s">
        <v>1069</v>
      </c>
      <c r="G326" s="263"/>
      <c r="H326" s="59"/>
      <c r="I326" s="76">
        <v>3000000.0</v>
      </c>
      <c r="J326" s="268"/>
      <c r="K326" s="269"/>
      <c r="L326" s="229">
        <f t="shared" si="17"/>
        <v>3000000</v>
      </c>
      <c r="M326" s="269"/>
      <c r="N326" s="205" t="s">
        <v>1138</v>
      </c>
      <c r="O326" s="222"/>
      <c r="P326" s="266"/>
      <c r="Q326" s="199"/>
      <c r="R326" s="199">
        <f t="shared" si="3"/>
        <v>3000000</v>
      </c>
      <c r="S326" s="200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</row>
    <row r="327" ht="15.75" hidden="1" customHeight="1">
      <c r="A327" s="190"/>
      <c r="B327" s="190"/>
      <c r="C327" s="93" t="s">
        <v>513</v>
      </c>
      <c r="D327" s="73"/>
      <c r="E327" s="221"/>
      <c r="F327" s="73"/>
      <c r="G327" s="263"/>
      <c r="H327" s="59"/>
      <c r="I327" s="76">
        <v>5000000.0</v>
      </c>
      <c r="J327" s="268"/>
      <c r="K327" s="269"/>
      <c r="L327" s="229">
        <f t="shared" si="17"/>
        <v>5000000</v>
      </c>
      <c r="M327" s="270">
        <v>46024.0</v>
      </c>
      <c r="N327" s="205" t="s">
        <v>1138</v>
      </c>
      <c r="O327" s="222">
        <f>L327</f>
        <v>5000000</v>
      </c>
      <c r="P327" s="270">
        <v>46024.0</v>
      </c>
      <c r="Q327" s="196">
        <v>2500.0</v>
      </c>
      <c r="R327" s="199">
        <f t="shared" si="3"/>
        <v>0</v>
      </c>
      <c r="S327" s="200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</row>
    <row r="328" ht="15.75" customHeight="1">
      <c r="A328" s="190"/>
      <c r="B328" s="190"/>
      <c r="C328" s="93" t="s">
        <v>1071</v>
      </c>
      <c r="D328" s="73"/>
      <c r="E328" s="120" t="s">
        <v>463</v>
      </c>
      <c r="F328" s="70" t="s">
        <v>1072</v>
      </c>
      <c r="G328" s="263"/>
      <c r="H328" s="59"/>
      <c r="I328" s="76">
        <v>7330400.0</v>
      </c>
      <c r="J328" s="268"/>
      <c r="K328" s="269"/>
      <c r="L328" s="229">
        <f t="shared" si="17"/>
        <v>7330400</v>
      </c>
      <c r="M328" s="269"/>
      <c r="N328" s="205" t="s">
        <v>1138</v>
      </c>
      <c r="O328" s="222"/>
      <c r="P328" s="266"/>
      <c r="Q328" s="199"/>
      <c r="R328" s="199">
        <f t="shared" si="3"/>
        <v>7330400</v>
      </c>
      <c r="S328" s="200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</row>
    <row r="329" ht="15.75" hidden="1" customHeight="1">
      <c r="A329" s="190"/>
      <c r="B329" s="190"/>
      <c r="C329" s="93" t="s">
        <v>1075</v>
      </c>
      <c r="D329" s="73"/>
      <c r="E329" s="221"/>
      <c r="F329" s="73"/>
      <c r="G329" s="263"/>
      <c r="H329" s="59"/>
      <c r="I329" s="76">
        <v>501000.0</v>
      </c>
      <c r="J329" s="268"/>
      <c r="K329" s="269"/>
      <c r="L329" s="229">
        <f t="shared" si="17"/>
        <v>501000</v>
      </c>
      <c r="M329" s="270">
        <v>46028.0</v>
      </c>
      <c r="N329" s="205" t="s">
        <v>1138</v>
      </c>
      <c r="O329" s="222">
        <f t="shared" ref="O329:O350" si="20">L329</f>
        <v>501000</v>
      </c>
      <c r="P329" s="270">
        <v>46028.0</v>
      </c>
      <c r="Q329" s="199"/>
      <c r="R329" s="199">
        <f t="shared" si="3"/>
        <v>0</v>
      </c>
      <c r="S329" s="200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</row>
    <row r="330" ht="15.75" hidden="1" customHeight="1">
      <c r="A330" s="190"/>
      <c r="B330" s="190"/>
      <c r="C330" s="93" t="s">
        <v>1077</v>
      </c>
      <c r="D330" s="73"/>
      <c r="E330" s="221"/>
      <c r="F330" s="73"/>
      <c r="G330" s="73"/>
      <c r="H330" s="59"/>
      <c r="I330" s="76">
        <v>151467.0</v>
      </c>
      <c r="J330" s="268"/>
      <c r="K330" s="269"/>
      <c r="L330" s="229">
        <f t="shared" si="17"/>
        <v>151467</v>
      </c>
      <c r="M330" s="270">
        <v>46029.0</v>
      </c>
      <c r="N330" s="205" t="s">
        <v>1138</v>
      </c>
      <c r="O330" s="222">
        <f t="shared" si="20"/>
        <v>151467</v>
      </c>
      <c r="P330" s="270">
        <v>46029.0</v>
      </c>
      <c r="Q330" s="199"/>
      <c r="R330" s="199">
        <f t="shared" si="3"/>
        <v>0</v>
      </c>
      <c r="S330" s="200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</row>
    <row r="331" ht="15.75" hidden="1" customHeight="1">
      <c r="A331" s="190"/>
      <c r="B331" s="190"/>
      <c r="C331" s="93" t="s">
        <v>1079</v>
      </c>
      <c r="D331" s="73"/>
      <c r="E331" s="221"/>
      <c r="F331" s="73"/>
      <c r="G331" s="73"/>
      <c r="H331" s="59"/>
      <c r="I331" s="76">
        <v>700000.0</v>
      </c>
      <c r="J331" s="268"/>
      <c r="K331" s="269"/>
      <c r="L331" s="229">
        <f t="shared" si="17"/>
        <v>700000</v>
      </c>
      <c r="M331" s="270">
        <v>46029.0</v>
      </c>
      <c r="N331" s="205" t="s">
        <v>1138</v>
      </c>
      <c r="O331" s="222">
        <f t="shared" si="20"/>
        <v>700000</v>
      </c>
      <c r="P331" s="270">
        <v>46029.0</v>
      </c>
      <c r="Q331" s="199"/>
      <c r="R331" s="199">
        <f t="shared" si="3"/>
        <v>0</v>
      </c>
      <c r="S331" s="200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</row>
    <row r="332" ht="15.75" hidden="1" customHeight="1">
      <c r="A332" s="190"/>
      <c r="B332" s="190"/>
      <c r="C332" s="93" t="s">
        <v>1081</v>
      </c>
      <c r="D332" s="73"/>
      <c r="E332" s="221"/>
      <c r="F332" s="73"/>
      <c r="G332" s="73"/>
      <c r="H332" s="59"/>
      <c r="I332" s="76">
        <v>431000.0</v>
      </c>
      <c r="J332" s="268"/>
      <c r="K332" s="269"/>
      <c r="L332" s="229">
        <f t="shared" si="17"/>
        <v>431000</v>
      </c>
      <c r="M332" s="270">
        <v>46029.0</v>
      </c>
      <c r="N332" s="205" t="s">
        <v>1138</v>
      </c>
      <c r="O332" s="222">
        <f t="shared" si="20"/>
        <v>431000</v>
      </c>
      <c r="P332" s="270">
        <v>46029.0</v>
      </c>
      <c r="Q332" s="199"/>
      <c r="R332" s="199">
        <f t="shared" si="3"/>
        <v>0</v>
      </c>
      <c r="S332" s="200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</row>
    <row r="333" ht="15.75" hidden="1" customHeight="1">
      <c r="A333" s="190"/>
      <c r="B333" s="190"/>
      <c r="C333" s="93" t="s">
        <v>1083</v>
      </c>
      <c r="D333" s="73"/>
      <c r="E333" s="221"/>
      <c r="F333" s="73"/>
      <c r="G333" s="73"/>
      <c r="H333" s="59"/>
      <c r="I333" s="76">
        <v>735000.0</v>
      </c>
      <c r="J333" s="268"/>
      <c r="K333" s="269"/>
      <c r="L333" s="229">
        <f t="shared" si="17"/>
        <v>735000</v>
      </c>
      <c r="M333" s="270">
        <v>46029.0</v>
      </c>
      <c r="N333" s="205" t="s">
        <v>1138</v>
      </c>
      <c r="O333" s="222">
        <f t="shared" si="20"/>
        <v>735000</v>
      </c>
      <c r="P333" s="270">
        <v>46029.0</v>
      </c>
      <c r="Q333" s="199"/>
      <c r="R333" s="199">
        <f t="shared" si="3"/>
        <v>0</v>
      </c>
      <c r="S333" s="200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</row>
    <row r="334" ht="15.75" hidden="1" customHeight="1">
      <c r="A334" s="190"/>
      <c r="B334" s="190"/>
      <c r="C334" s="93" t="s">
        <v>1085</v>
      </c>
      <c r="D334" s="73"/>
      <c r="E334" s="221"/>
      <c r="F334" s="73"/>
      <c r="G334" s="73"/>
      <c r="H334" s="59"/>
      <c r="I334" s="76">
        <v>400000.0</v>
      </c>
      <c r="J334" s="268"/>
      <c r="K334" s="269"/>
      <c r="L334" s="229">
        <f t="shared" si="17"/>
        <v>400000</v>
      </c>
      <c r="M334" s="270">
        <v>46029.0</v>
      </c>
      <c r="N334" s="205" t="s">
        <v>1138</v>
      </c>
      <c r="O334" s="222">
        <f t="shared" si="20"/>
        <v>400000</v>
      </c>
      <c r="P334" s="270">
        <v>46029.0</v>
      </c>
      <c r="Q334" s="199"/>
      <c r="R334" s="199">
        <f t="shared" si="3"/>
        <v>0</v>
      </c>
      <c r="S334" s="200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</row>
    <row r="335" ht="15.75" hidden="1" customHeight="1">
      <c r="A335" s="190"/>
      <c r="B335" s="190"/>
      <c r="C335" s="93" t="s">
        <v>1087</v>
      </c>
      <c r="D335" s="73"/>
      <c r="E335" s="221"/>
      <c r="F335" s="73"/>
      <c r="G335" s="73"/>
      <c r="H335" s="59"/>
      <c r="I335" s="76">
        <v>378800.0</v>
      </c>
      <c r="J335" s="268"/>
      <c r="K335" s="269"/>
      <c r="L335" s="229">
        <f t="shared" si="17"/>
        <v>378800</v>
      </c>
      <c r="M335" s="270">
        <v>46029.0</v>
      </c>
      <c r="N335" s="205" t="s">
        <v>1138</v>
      </c>
      <c r="O335" s="222">
        <f t="shared" si="20"/>
        <v>378800</v>
      </c>
      <c r="P335" s="270">
        <v>46029.0</v>
      </c>
      <c r="Q335" s="199"/>
      <c r="R335" s="199">
        <f t="shared" si="3"/>
        <v>0</v>
      </c>
      <c r="S335" s="200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</row>
    <row r="336" ht="15.75" hidden="1" customHeight="1">
      <c r="A336" s="190"/>
      <c r="B336" s="190"/>
      <c r="C336" s="93" t="s">
        <v>456</v>
      </c>
      <c r="D336" s="73"/>
      <c r="E336" s="221"/>
      <c r="F336" s="73"/>
      <c r="G336" s="73"/>
      <c r="H336" s="59"/>
      <c r="I336" s="76">
        <v>5000000.0</v>
      </c>
      <c r="J336" s="268"/>
      <c r="K336" s="269"/>
      <c r="L336" s="229">
        <f t="shared" si="17"/>
        <v>5000000</v>
      </c>
      <c r="M336" s="270">
        <v>46029.0</v>
      </c>
      <c r="N336" s="205" t="s">
        <v>1138</v>
      </c>
      <c r="O336" s="222">
        <f t="shared" si="20"/>
        <v>5000000</v>
      </c>
      <c r="P336" s="270">
        <v>46029.0</v>
      </c>
      <c r="Q336" s="196">
        <v>2500.0</v>
      </c>
      <c r="R336" s="199">
        <f t="shared" si="3"/>
        <v>0</v>
      </c>
      <c r="S336" s="200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</row>
    <row r="337" ht="15.75" hidden="1" customHeight="1">
      <c r="A337" s="190"/>
      <c r="B337" s="190"/>
      <c r="C337" s="93" t="s">
        <v>1089</v>
      </c>
      <c r="D337" s="73"/>
      <c r="E337" s="221"/>
      <c r="F337" s="73"/>
      <c r="G337" s="73"/>
      <c r="H337" s="59"/>
      <c r="I337" s="76">
        <v>2361601.0</v>
      </c>
      <c r="J337" s="268"/>
      <c r="K337" s="269"/>
      <c r="L337" s="229">
        <f t="shared" si="17"/>
        <v>2361601</v>
      </c>
      <c r="M337" s="270">
        <v>46030.0</v>
      </c>
      <c r="N337" s="205" t="s">
        <v>1138</v>
      </c>
      <c r="O337" s="222">
        <f t="shared" si="20"/>
        <v>2361601</v>
      </c>
      <c r="P337" s="270">
        <v>46030.0</v>
      </c>
      <c r="Q337" s="199"/>
      <c r="R337" s="199">
        <f t="shared" si="3"/>
        <v>0</v>
      </c>
      <c r="S337" s="200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</row>
    <row r="338" ht="15.75" hidden="1" customHeight="1">
      <c r="A338" s="190"/>
      <c r="B338" s="190"/>
      <c r="C338" s="93" t="s">
        <v>1091</v>
      </c>
      <c r="D338" s="73"/>
      <c r="E338" s="92"/>
      <c r="F338" s="92"/>
      <c r="G338" s="73"/>
      <c r="H338" s="59"/>
      <c r="I338" s="76">
        <v>286100.0</v>
      </c>
      <c r="J338" s="268"/>
      <c r="K338" s="269"/>
      <c r="L338" s="229">
        <f t="shared" si="17"/>
        <v>286100</v>
      </c>
      <c r="M338" s="270">
        <v>46030.0</v>
      </c>
      <c r="N338" s="205" t="s">
        <v>1138</v>
      </c>
      <c r="O338" s="222">
        <f t="shared" si="20"/>
        <v>286100</v>
      </c>
      <c r="P338" s="270">
        <v>46030.0</v>
      </c>
      <c r="Q338" s="199"/>
      <c r="R338" s="199">
        <f t="shared" si="3"/>
        <v>0</v>
      </c>
      <c r="S338" s="200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</row>
    <row r="339" ht="15.75" hidden="1" customHeight="1">
      <c r="A339" s="190"/>
      <c r="B339" s="190"/>
      <c r="C339" s="93" t="s">
        <v>1093</v>
      </c>
      <c r="D339" s="73"/>
      <c r="E339" s="219" t="s">
        <v>1094</v>
      </c>
      <c r="F339" s="220" t="s">
        <v>1095</v>
      </c>
      <c r="G339" s="73"/>
      <c r="H339" s="59"/>
      <c r="I339" s="76">
        <v>1948050.0</v>
      </c>
      <c r="J339" s="268"/>
      <c r="K339" s="269"/>
      <c r="L339" s="229">
        <f t="shared" si="17"/>
        <v>1948050</v>
      </c>
      <c r="M339" s="270">
        <v>46030.0</v>
      </c>
      <c r="N339" s="205" t="s">
        <v>1138</v>
      </c>
      <c r="O339" s="222">
        <f t="shared" si="20"/>
        <v>1948050</v>
      </c>
      <c r="P339" s="270">
        <v>46030.0</v>
      </c>
      <c r="Q339" s="196">
        <v>2500.0</v>
      </c>
      <c r="R339" s="199">
        <f t="shared" si="3"/>
        <v>0</v>
      </c>
      <c r="S339" s="200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</row>
    <row r="340" ht="15.75" hidden="1" customHeight="1">
      <c r="A340" s="190"/>
      <c r="B340" s="190"/>
      <c r="C340" s="93" t="s">
        <v>1098</v>
      </c>
      <c r="D340" s="73"/>
      <c r="E340" s="120" t="s">
        <v>1099</v>
      </c>
      <c r="F340" s="70" t="s">
        <v>1100</v>
      </c>
      <c r="G340" s="73"/>
      <c r="H340" s="59"/>
      <c r="I340" s="76">
        <v>618148.0</v>
      </c>
      <c r="J340" s="268"/>
      <c r="K340" s="269"/>
      <c r="L340" s="229">
        <f t="shared" si="17"/>
        <v>618148</v>
      </c>
      <c r="M340" s="270">
        <v>46030.0</v>
      </c>
      <c r="N340" s="205" t="s">
        <v>1138</v>
      </c>
      <c r="O340" s="222">
        <f t="shared" si="20"/>
        <v>618148</v>
      </c>
      <c r="P340" s="270">
        <v>46030.0</v>
      </c>
      <c r="Q340" s="196">
        <v>2500.0</v>
      </c>
      <c r="R340" s="199">
        <f t="shared" si="3"/>
        <v>0</v>
      </c>
      <c r="S340" s="200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</row>
    <row r="341" ht="15.75" hidden="1" customHeight="1">
      <c r="A341" s="190"/>
      <c r="B341" s="190"/>
      <c r="C341" s="93" t="s">
        <v>1102</v>
      </c>
      <c r="D341" s="73"/>
      <c r="E341" s="120" t="s">
        <v>1099</v>
      </c>
      <c r="F341" s="73"/>
      <c r="G341" s="73"/>
      <c r="H341" s="59"/>
      <c r="I341" s="76">
        <v>554000.0</v>
      </c>
      <c r="J341" s="268"/>
      <c r="K341" s="269"/>
      <c r="L341" s="229">
        <f t="shared" si="17"/>
        <v>554000</v>
      </c>
      <c r="M341" s="270">
        <v>46030.0</v>
      </c>
      <c r="N341" s="205" t="s">
        <v>1138</v>
      </c>
      <c r="O341" s="222">
        <f t="shared" si="20"/>
        <v>554000</v>
      </c>
      <c r="P341" s="270">
        <v>46030.0</v>
      </c>
      <c r="Q341" s="199"/>
      <c r="R341" s="199">
        <f t="shared" si="3"/>
        <v>0</v>
      </c>
      <c r="S341" s="200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</row>
    <row r="342" ht="15.75" hidden="1" customHeight="1">
      <c r="A342" s="190"/>
      <c r="B342" s="190"/>
      <c r="C342" s="93" t="s">
        <v>1104</v>
      </c>
      <c r="D342" s="73"/>
      <c r="E342" s="120" t="s">
        <v>1099</v>
      </c>
      <c r="F342" s="70" t="s">
        <v>1105</v>
      </c>
      <c r="G342" s="73"/>
      <c r="H342" s="59"/>
      <c r="I342" s="76">
        <v>2913750.0</v>
      </c>
      <c r="J342" s="268"/>
      <c r="K342" s="269"/>
      <c r="L342" s="229">
        <f t="shared" si="17"/>
        <v>2913750</v>
      </c>
      <c r="M342" s="270">
        <v>46030.0</v>
      </c>
      <c r="N342" s="205" t="s">
        <v>1138</v>
      </c>
      <c r="O342" s="222">
        <f t="shared" si="20"/>
        <v>2913750</v>
      </c>
      <c r="P342" s="270">
        <v>46030.0</v>
      </c>
      <c r="Q342" s="199"/>
      <c r="R342" s="199">
        <f t="shared" si="3"/>
        <v>0</v>
      </c>
      <c r="S342" s="200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</row>
    <row r="343" ht="15.75" hidden="1" customHeight="1">
      <c r="A343" s="190"/>
      <c r="B343" s="190"/>
      <c r="C343" s="93" t="s">
        <v>1107</v>
      </c>
      <c r="D343" s="73"/>
      <c r="E343" s="221"/>
      <c r="F343" s="73"/>
      <c r="G343" s="73"/>
      <c r="H343" s="59"/>
      <c r="I343" s="65">
        <v>5859986.0</v>
      </c>
      <c r="J343" s="268"/>
      <c r="K343" s="269"/>
      <c r="L343" s="229">
        <f t="shared" si="17"/>
        <v>5859986</v>
      </c>
      <c r="M343" s="270">
        <v>46030.0</v>
      </c>
      <c r="N343" s="205" t="s">
        <v>1138</v>
      </c>
      <c r="O343" s="222">
        <f t="shared" si="20"/>
        <v>5859986</v>
      </c>
      <c r="P343" s="270">
        <v>46030.0</v>
      </c>
      <c r="Q343" s="199"/>
      <c r="R343" s="199">
        <f t="shared" si="3"/>
        <v>0</v>
      </c>
      <c r="S343" s="200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</row>
    <row r="344" ht="15.75" hidden="1" customHeight="1">
      <c r="A344" s="190"/>
      <c r="B344" s="190"/>
      <c r="C344" s="93" t="s">
        <v>1109</v>
      </c>
      <c r="D344" s="73"/>
      <c r="E344" s="221"/>
      <c r="F344" s="73"/>
      <c r="G344" s="73"/>
      <c r="H344" s="59"/>
      <c r="I344" s="76">
        <v>3000000.0</v>
      </c>
      <c r="J344" s="268"/>
      <c r="K344" s="269"/>
      <c r="L344" s="229">
        <f t="shared" si="17"/>
        <v>3000000</v>
      </c>
      <c r="M344" s="270">
        <v>46031.0</v>
      </c>
      <c r="N344" s="205" t="s">
        <v>1138</v>
      </c>
      <c r="O344" s="222">
        <f t="shared" si="20"/>
        <v>3000000</v>
      </c>
      <c r="P344" s="270">
        <v>46031.0</v>
      </c>
      <c r="Q344" s="199"/>
      <c r="R344" s="199">
        <f t="shared" si="3"/>
        <v>0</v>
      </c>
      <c r="S344" s="200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</row>
    <row r="345" ht="15.75" hidden="1" customHeight="1">
      <c r="A345" s="190"/>
      <c r="B345" s="190"/>
      <c r="C345" s="93" t="s">
        <v>1111</v>
      </c>
      <c r="D345" s="73"/>
      <c r="E345" s="221"/>
      <c r="F345" s="73"/>
      <c r="G345" s="73"/>
      <c r="H345" s="59"/>
      <c r="I345" s="76">
        <v>3234000.0</v>
      </c>
      <c r="J345" s="268"/>
      <c r="K345" s="269"/>
      <c r="L345" s="229">
        <f t="shared" si="17"/>
        <v>3234000</v>
      </c>
      <c r="M345" s="270">
        <v>46031.0</v>
      </c>
      <c r="N345" s="205" t="s">
        <v>1138</v>
      </c>
      <c r="O345" s="222">
        <f t="shared" si="20"/>
        <v>3234000</v>
      </c>
      <c r="P345" s="270">
        <v>46031.0</v>
      </c>
      <c r="Q345" s="199"/>
      <c r="R345" s="199">
        <f t="shared" si="3"/>
        <v>0</v>
      </c>
      <c r="S345" s="200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</row>
    <row r="346" ht="15.75" hidden="1" customHeight="1">
      <c r="A346" s="190"/>
      <c r="B346" s="190"/>
      <c r="C346" s="93" t="s">
        <v>1113</v>
      </c>
      <c r="D346" s="73"/>
      <c r="E346" s="221"/>
      <c r="F346" s="73"/>
      <c r="G346" s="73"/>
      <c r="H346" s="59"/>
      <c r="I346" s="76">
        <v>140000.0</v>
      </c>
      <c r="J346" s="268"/>
      <c r="K346" s="269"/>
      <c r="L346" s="229">
        <f t="shared" si="17"/>
        <v>140000</v>
      </c>
      <c r="M346" s="270">
        <v>46031.0</v>
      </c>
      <c r="N346" s="205" t="s">
        <v>1138</v>
      </c>
      <c r="O346" s="222">
        <f t="shared" si="20"/>
        <v>140000</v>
      </c>
      <c r="P346" s="270">
        <v>46031.0</v>
      </c>
      <c r="Q346" s="199"/>
      <c r="R346" s="199">
        <f t="shared" si="3"/>
        <v>0</v>
      </c>
      <c r="S346" s="200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</row>
    <row r="347" ht="15.75" hidden="1" customHeight="1">
      <c r="A347" s="190"/>
      <c r="B347" s="190"/>
      <c r="C347" s="93" t="s">
        <v>1079</v>
      </c>
      <c r="D347" s="73"/>
      <c r="E347" s="221"/>
      <c r="F347" s="73"/>
      <c r="G347" s="73"/>
      <c r="H347" s="59"/>
      <c r="I347" s="76">
        <v>350000.0</v>
      </c>
      <c r="J347" s="268"/>
      <c r="K347" s="269"/>
      <c r="L347" s="229">
        <f t="shared" si="17"/>
        <v>350000</v>
      </c>
      <c r="M347" s="270">
        <v>46031.0</v>
      </c>
      <c r="N347" s="205" t="s">
        <v>1138</v>
      </c>
      <c r="O347" s="222">
        <f t="shared" si="20"/>
        <v>350000</v>
      </c>
      <c r="P347" s="270">
        <v>46031.0</v>
      </c>
      <c r="Q347" s="199"/>
      <c r="R347" s="199">
        <f t="shared" si="3"/>
        <v>0</v>
      </c>
      <c r="S347" s="200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</row>
    <row r="348" ht="15.75" hidden="1" customHeight="1">
      <c r="A348" s="190"/>
      <c r="B348" s="190"/>
      <c r="C348" s="93" t="s">
        <v>1116</v>
      </c>
      <c r="D348" s="73"/>
      <c r="E348" s="221"/>
      <c r="F348" s="73"/>
      <c r="G348" s="73"/>
      <c r="H348" s="59"/>
      <c r="I348" s="76">
        <v>295500.0</v>
      </c>
      <c r="J348" s="268"/>
      <c r="K348" s="269"/>
      <c r="L348" s="229">
        <f t="shared" si="17"/>
        <v>295500</v>
      </c>
      <c r="M348" s="270">
        <v>46034.0</v>
      </c>
      <c r="N348" s="205" t="s">
        <v>1138</v>
      </c>
      <c r="O348" s="222">
        <f t="shared" si="20"/>
        <v>295500</v>
      </c>
      <c r="P348" s="270">
        <v>46034.0</v>
      </c>
      <c r="Q348" s="270"/>
      <c r="R348" s="199">
        <f t="shared" si="3"/>
        <v>0</v>
      </c>
      <c r="S348" s="200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</row>
    <row r="349" ht="15.75" hidden="1" customHeight="1">
      <c r="A349" s="190"/>
      <c r="B349" s="190"/>
      <c r="C349" s="93" t="s">
        <v>1118</v>
      </c>
      <c r="D349" s="73"/>
      <c r="E349" s="221"/>
      <c r="F349" s="73"/>
      <c r="G349" s="73"/>
      <c r="H349" s="59"/>
      <c r="I349" s="76">
        <v>2712000.0</v>
      </c>
      <c r="J349" s="268"/>
      <c r="K349" s="269"/>
      <c r="L349" s="229">
        <f t="shared" si="17"/>
        <v>2712000</v>
      </c>
      <c r="M349" s="270">
        <v>46034.0</v>
      </c>
      <c r="N349" s="205" t="s">
        <v>1138</v>
      </c>
      <c r="O349" s="222">
        <f t="shared" si="20"/>
        <v>2712000</v>
      </c>
      <c r="P349" s="270">
        <v>46034.0</v>
      </c>
      <c r="Q349" s="199"/>
      <c r="R349" s="199">
        <f t="shared" si="3"/>
        <v>0</v>
      </c>
      <c r="S349" s="200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</row>
    <row r="350" ht="15.75" hidden="1" customHeight="1">
      <c r="A350" s="190"/>
      <c r="B350" s="190"/>
      <c r="C350" s="93" t="s">
        <v>1120</v>
      </c>
      <c r="D350" s="73"/>
      <c r="E350" s="221"/>
      <c r="F350" s="73"/>
      <c r="G350" s="73"/>
      <c r="H350" s="59"/>
      <c r="I350" s="79">
        <v>8085350.0</v>
      </c>
      <c r="J350" s="268"/>
      <c r="K350" s="269"/>
      <c r="L350" s="229">
        <f t="shared" si="17"/>
        <v>8085350</v>
      </c>
      <c r="M350" s="270">
        <v>46034.0</v>
      </c>
      <c r="N350" s="205" t="s">
        <v>1138</v>
      </c>
      <c r="O350" s="222">
        <f t="shared" si="20"/>
        <v>8085350</v>
      </c>
      <c r="P350" s="270">
        <v>46034.0</v>
      </c>
      <c r="Q350" s="199"/>
      <c r="R350" s="199">
        <f t="shared" si="3"/>
        <v>0</v>
      </c>
      <c r="S350" s="200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</row>
    <row r="351" ht="15.75" hidden="1" customHeight="1">
      <c r="A351" s="190"/>
      <c r="B351" s="190"/>
      <c r="C351" s="93" t="s">
        <v>1122</v>
      </c>
      <c r="D351" s="73"/>
      <c r="E351" s="115" t="s">
        <v>1123</v>
      </c>
      <c r="F351" s="115" t="s">
        <v>1124</v>
      </c>
      <c r="G351" s="112" t="s">
        <v>1125</v>
      </c>
      <c r="H351" s="59"/>
      <c r="I351" s="79">
        <v>1.1327127E7</v>
      </c>
      <c r="J351" s="268"/>
      <c r="K351" s="269"/>
      <c r="L351" s="229">
        <f t="shared" si="17"/>
        <v>11327127</v>
      </c>
      <c r="M351" s="269"/>
      <c r="N351" s="269"/>
      <c r="O351" s="222"/>
      <c r="P351" s="266"/>
      <c r="Q351" s="199"/>
      <c r="R351" s="199"/>
      <c r="S351" s="200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</row>
    <row r="352" ht="15.75" hidden="1" customHeight="1">
      <c r="A352" s="190"/>
      <c r="B352" s="190"/>
      <c r="C352" s="93" t="s">
        <v>1126</v>
      </c>
      <c r="D352" s="73"/>
      <c r="E352" s="114"/>
      <c r="F352" s="114"/>
      <c r="G352" s="73"/>
      <c r="H352" s="59"/>
      <c r="I352" s="79">
        <v>3.991E7</v>
      </c>
      <c r="J352" s="268"/>
      <c r="K352" s="269"/>
      <c r="L352" s="229">
        <f t="shared" si="17"/>
        <v>39910000</v>
      </c>
      <c r="M352" s="269"/>
      <c r="N352" s="269"/>
      <c r="O352" s="222"/>
      <c r="P352" s="266"/>
      <c r="Q352" s="199"/>
      <c r="R352" s="199"/>
      <c r="S352" s="200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</row>
    <row r="353" ht="15.75" hidden="1" customHeight="1">
      <c r="A353" s="190"/>
      <c r="B353" s="190"/>
      <c r="C353" s="92"/>
      <c r="D353" s="73"/>
      <c r="E353" s="221"/>
      <c r="F353" s="73"/>
      <c r="G353" s="73"/>
      <c r="H353" s="59"/>
      <c r="I353" s="76"/>
      <c r="J353" s="268"/>
      <c r="K353" s="269"/>
      <c r="L353" s="271"/>
      <c r="M353" s="269"/>
      <c r="N353" s="269"/>
      <c r="O353" s="222"/>
      <c r="P353" s="266"/>
      <c r="Q353" s="199"/>
      <c r="R353" s="199"/>
      <c r="S353" s="200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</row>
    <row r="354" ht="15.75" hidden="1" customHeight="1">
      <c r="A354" s="190"/>
      <c r="B354" s="190"/>
      <c r="C354" s="92"/>
      <c r="D354" s="73"/>
      <c r="E354" s="221"/>
      <c r="F354" s="73"/>
      <c r="G354" s="73"/>
      <c r="H354" s="59"/>
      <c r="I354" s="76"/>
      <c r="J354" s="268"/>
      <c r="K354" s="269"/>
      <c r="L354" s="271"/>
      <c r="M354" s="269"/>
      <c r="N354" s="269"/>
      <c r="O354" s="222"/>
      <c r="P354" s="266"/>
      <c r="Q354" s="199"/>
      <c r="R354" s="199"/>
      <c r="S354" s="200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</row>
    <row r="355" ht="15.75" hidden="1" customHeight="1">
      <c r="A355" s="190"/>
      <c r="B355" s="190"/>
      <c r="C355" s="92"/>
      <c r="D355" s="73"/>
      <c r="E355" s="221"/>
      <c r="F355" s="73"/>
      <c r="G355" s="73"/>
      <c r="H355" s="59"/>
      <c r="I355" s="76"/>
      <c r="J355" s="268"/>
      <c r="K355" s="269"/>
      <c r="L355" s="271"/>
      <c r="M355" s="269"/>
      <c r="N355" s="269"/>
      <c r="O355" s="222"/>
      <c r="P355" s="266"/>
      <c r="Q355" s="199"/>
      <c r="R355" s="199"/>
      <c r="S355" s="200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</row>
    <row r="356" ht="15.75" hidden="1" customHeight="1">
      <c r="A356" s="190"/>
      <c r="B356" s="190"/>
      <c r="C356" s="92"/>
      <c r="D356" s="73"/>
      <c r="E356" s="221"/>
      <c r="F356" s="73"/>
      <c r="G356" s="73"/>
      <c r="H356" s="59"/>
      <c r="I356" s="76"/>
      <c r="J356" s="268"/>
      <c r="K356" s="269"/>
      <c r="L356" s="271"/>
      <c r="M356" s="269"/>
      <c r="N356" s="269"/>
      <c r="O356" s="222"/>
      <c r="P356" s="266"/>
      <c r="Q356" s="199"/>
      <c r="R356" s="199"/>
      <c r="S356" s="200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</row>
    <row r="357" ht="15.75" hidden="1" customHeight="1">
      <c r="A357" s="190"/>
      <c r="B357" s="190"/>
      <c r="C357" s="92"/>
      <c r="D357" s="73"/>
      <c r="E357" s="221"/>
      <c r="F357" s="73"/>
      <c r="G357" s="73"/>
      <c r="H357" s="59"/>
      <c r="I357" s="76"/>
      <c r="J357" s="268"/>
      <c r="K357" s="269"/>
      <c r="L357" s="271"/>
      <c r="M357" s="269"/>
      <c r="N357" s="269"/>
      <c r="O357" s="222"/>
      <c r="P357" s="266"/>
      <c r="Q357" s="199"/>
      <c r="R357" s="199"/>
      <c r="S357" s="200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</row>
    <row r="358" ht="15.75" hidden="1" customHeight="1">
      <c r="A358" s="190"/>
      <c r="B358" s="190"/>
      <c r="C358" s="92"/>
      <c r="D358" s="73"/>
      <c r="E358" s="221"/>
      <c r="F358" s="73"/>
      <c r="G358" s="73"/>
      <c r="H358" s="59"/>
      <c r="I358" s="76"/>
      <c r="J358" s="268"/>
      <c r="K358" s="269"/>
      <c r="L358" s="271"/>
      <c r="M358" s="269"/>
      <c r="N358" s="269"/>
      <c r="O358" s="222"/>
      <c r="P358" s="266"/>
      <c r="Q358" s="199"/>
      <c r="R358" s="199"/>
      <c r="S358" s="200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</row>
    <row r="359" ht="15.75" hidden="1" customHeight="1">
      <c r="A359" s="190"/>
      <c r="B359" s="190"/>
      <c r="C359" s="92"/>
      <c r="D359" s="73"/>
      <c r="E359" s="221"/>
      <c r="F359" s="73"/>
      <c r="G359" s="73"/>
      <c r="H359" s="59"/>
      <c r="I359" s="76"/>
      <c r="J359" s="268"/>
      <c r="K359" s="269"/>
      <c r="L359" s="271"/>
      <c r="M359" s="269"/>
      <c r="N359" s="269"/>
      <c r="O359" s="222"/>
      <c r="P359" s="266"/>
      <c r="Q359" s="199"/>
      <c r="R359" s="199"/>
      <c r="S359" s="200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</row>
    <row r="360" ht="15.75" hidden="1" customHeight="1">
      <c r="A360" s="190"/>
      <c r="B360" s="190"/>
      <c r="C360" s="92"/>
      <c r="D360" s="73"/>
      <c r="E360" s="221"/>
      <c r="F360" s="73"/>
      <c r="G360" s="73"/>
      <c r="H360" s="59"/>
      <c r="I360" s="76"/>
      <c r="J360" s="268"/>
      <c r="K360" s="269"/>
      <c r="L360" s="271"/>
      <c r="M360" s="269"/>
      <c r="N360" s="269"/>
      <c r="O360" s="222"/>
      <c r="P360" s="266"/>
      <c r="Q360" s="199"/>
      <c r="R360" s="199"/>
      <c r="S360" s="200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</row>
    <row r="361" ht="15.75" hidden="1" customHeight="1">
      <c r="A361" s="190"/>
      <c r="B361" s="190"/>
      <c r="C361" s="92"/>
      <c r="D361" s="73"/>
      <c r="E361" s="221"/>
      <c r="F361" s="73"/>
      <c r="G361" s="73"/>
      <c r="H361" s="59"/>
      <c r="I361" s="76"/>
      <c r="J361" s="268"/>
      <c r="K361" s="269"/>
      <c r="L361" s="271"/>
      <c r="M361" s="269"/>
      <c r="N361" s="269"/>
      <c r="O361" s="222"/>
      <c r="P361" s="266"/>
      <c r="Q361" s="199"/>
      <c r="R361" s="199"/>
      <c r="S361" s="200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</row>
    <row r="362" ht="15.75" hidden="1" customHeight="1">
      <c r="A362" s="190"/>
      <c r="B362" s="190"/>
      <c r="C362" s="60"/>
      <c r="D362" s="73"/>
      <c r="E362" s="221"/>
      <c r="F362" s="73"/>
      <c r="G362" s="73"/>
      <c r="H362" s="59"/>
      <c r="I362" s="76"/>
      <c r="J362" s="268"/>
      <c r="K362" s="269"/>
      <c r="L362" s="271"/>
      <c r="M362" s="269"/>
      <c r="N362" s="269"/>
      <c r="O362" s="222"/>
      <c r="P362" s="266"/>
      <c r="Q362" s="199">
        <f>IF(O362&gt;1,I362-O362,0)</f>
        <v>0</v>
      </c>
      <c r="R362" s="199">
        <f>I362-O362-Q362</f>
        <v>0</v>
      </c>
      <c r="S362" s="200" t="str">
        <f>IF(R362&gt;0,"ost","-")</f>
        <v>-</v>
      </c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</row>
    <row r="363" ht="15.75" hidden="1" customHeight="1">
      <c r="A363" s="272"/>
      <c r="B363" s="149"/>
      <c r="C363" s="149"/>
      <c r="D363" s="149"/>
      <c r="E363" s="273"/>
      <c r="F363" s="274"/>
      <c r="G363" s="275"/>
      <c r="H363" s="276"/>
      <c r="I363" s="277"/>
      <c r="J363" s="278"/>
      <c r="K363" s="279"/>
      <c r="L363" s="280"/>
      <c r="M363" s="279"/>
      <c r="N363" s="281"/>
      <c r="O363" s="281"/>
      <c r="P363" s="282"/>
      <c r="Q363" s="281"/>
      <c r="R363" s="281"/>
      <c r="S363" s="281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</row>
    <row r="364" ht="15.75" customHeight="1">
      <c r="A364" s="283"/>
      <c r="B364" s="284"/>
      <c r="C364" s="284"/>
      <c r="D364" s="284"/>
      <c r="E364" s="285"/>
      <c r="F364" s="286"/>
      <c r="G364" s="286"/>
      <c r="H364" s="286" t="s">
        <v>1177</v>
      </c>
      <c r="I364" s="287"/>
      <c r="J364" s="288"/>
      <c r="K364" s="289"/>
      <c r="L364" s="290"/>
      <c r="M364" s="289"/>
      <c r="N364" s="291"/>
      <c r="O364" s="292">
        <f>SUBTOTAL(9,O4:O363)</f>
        <v>0</v>
      </c>
      <c r="P364" s="293"/>
      <c r="Q364" s="292">
        <f t="shared" ref="Q364:S364" si="21">SUBTOTAL(9,Q4:Q363)</f>
        <v>0</v>
      </c>
      <c r="R364" s="292">
        <f t="shared" si="21"/>
        <v>84232145</v>
      </c>
      <c r="S364" s="292">
        <f t="shared" si="21"/>
        <v>0</v>
      </c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</row>
    <row r="365" ht="15.75" hidden="1" customHeight="1">
      <c r="A365" s="89"/>
      <c r="B365" s="89"/>
      <c r="C365" s="89"/>
      <c r="D365" s="89"/>
      <c r="E365" s="294"/>
      <c r="F365" s="91"/>
      <c r="G365" s="91"/>
      <c r="H365" s="89"/>
      <c r="I365" s="295"/>
      <c r="J365" s="296"/>
      <c r="K365" s="118"/>
      <c r="L365" s="297"/>
      <c r="M365" s="118"/>
      <c r="N365" s="298"/>
      <c r="O365" s="298"/>
      <c r="P365" s="299"/>
      <c r="Q365" s="298"/>
      <c r="R365" s="298"/>
      <c r="S365" s="89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</row>
    <row r="366" ht="15.75" customHeight="1">
      <c r="A366" s="89"/>
      <c r="B366" s="89"/>
      <c r="C366" s="89"/>
      <c r="D366" s="89"/>
      <c r="E366" s="294"/>
      <c r="F366" s="91"/>
      <c r="G366" s="91"/>
      <c r="H366" s="300" t="s">
        <v>1178</v>
      </c>
      <c r="I366" s="301">
        <f>I364-I369</f>
        <v>-1476737831</v>
      </c>
      <c r="J366" s="296"/>
      <c r="K366" s="118"/>
      <c r="L366" s="297"/>
      <c r="M366" s="118"/>
      <c r="N366" s="298" t="s">
        <v>1179</v>
      </c>
      <c r="O366" s="18" t="s">
        <v>1180</v>
      </c>
      <c r="P366" s="302"/>
      <c r="Q366" s="303" t="s">
        <v>1181</v>
      </c>
      <c r="R366" s="304">
        <v>3.46241843E8</v>
      </c>
      <c r="S366" s="89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</row>
    <row r="367" ht="15.75" customHeight="1">
      <c r="A367" s="89"/>
      <c r="B367" s="89"/>
      <c r="C367" s="89"/>
      <c r="D367" s="89"/>
      <c r="E367" s="294"/>
      <c r="F367" s="91"/>
      <c r="G367" s="91"/>
      <c r="H367" s="305" t="s">
        <v>1182</v>
      </c>
      <c r="I367" s="306">
        <v>0.0</v>
      </c>
      <c r="J367" s="296"/>
      <c r="K367" s="118"/>
      <c r="L367" s="297"/>
      <c r="M367" s="118" t="s">
        <v>1183</v>
      </c>
      <c r="N367" s="23">
        <v>0.0</v>
      </c>
      <c r="O367" s="23">
        <v>0.0</v>
      </c>
      <c r="P367" s="307"/>
      <c r="Q367" s="308">
        <f>O367-N367</f>
        <v>0</v>
      </c>
      <c r="R367" s="304">
        <f>R366-R364</f>
        <v>262009698</v>
      </c>
      <c r="S367" s="89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</row>
    <row r="368" ht="15.75" hidden="1" customHeight="1">
      <c r="A368" s="89"/>
      <c r="B368" s="89"/>
      <c r="C368" s="89"/>
      <c r="D368" s="89"/>
      <c r="E368" s="294"/>
      <c r="F368" s="91"/>
      <c r="G368" s="91"/>
      <c r="H368" s="305" t="s">
        <v>1184</v>
      </c>
      <c r="I368" s="309">
        <f>PURCHASES!L377</f>
        <v>1476737831</v>
      </c>
      <c r="J368" s="296"/>
      <c r="K368" s="118"/>
      <c r="L368" s="297"/>
      <c r="M368" s="118" t="s">
        <v>1185</v>
      </c>
      <c r="N368" s="23">
        <v>0.0</v>
      </c>
      <c r="O368" s="23">
        <v>0.0</v>
      </c>
      <c r="P368" s="310"/>
      <c r="Q368" s="23">
        <f>N368-O368</f>
        <v>0</v>
      </c>
      <c r="R368" s="298"/>
      <c r="S368" s="89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</row>
    <row r="369" ht="15.75" hidden="1" customHeight="1">
      <c r="A369" s="89"/>
      <c r="B369" s="89"/>
      <c r="C369" s="89"/>
      <c r="D369" s="89"/>
      <c r="E369" s="294"/>
      <c r="F369" s="91"/>
      <c r="G369" s="91"/>
      <c r="H369" s="311" t="s">
        <v>1177</v>
      </c>
      <c r="I369" s="309">
        <f>I367+I368</f>
        <v>1476737831</v>
      </c>
      <c r="J369" s="296"/>
      <c r="K369" s="118"/>
      <c r="L369" s="297"/>
      <c r="M369" s="118" t="s">
        <v>1186</v>
      </c>
      <c r="N369" s="312">
        <v>0.0</v>
      </c>
      <c r="O369" s="312">
        <v>0.0</v>
      </c>
      <c r="P369" s="307"/>
      <c r="Q369" s="308">
        <f>O369-N369</f>
        <v>0</v>
      </c>
      <c r="R369" s="89"/>
      <c r="S369" s="89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</row>
    <row r="370" ht="15.75" hidden="1" customHeight="1">
      <c r="A370" s="89"/>
      <c r="B370" s="89"/>
      <c r="C370" s="89"/>
      <c r="D370" s="89"/>
      <c r="E370" s="294"/>
      <c r="F370" s="91"/>
      <c r="G370" s="91"/>
      <c r="H370" s="89"/>
      <c r="I370" s="89"/>
      <c r="J370" s="296"/>
      <c r="K370" s="118"/>
      <c r="L370" s="297"/>
      <c r="M370" s="118" t="s">
        <v>1187</v>
      </c>
      <c r="N370" s="313">
        <f t="shared" ref="N370:O370" si="22">SUM(N367:N369)</f>
        <v>0</v>
      </c>
      <c r="O370" s="313">
        <f t="shared" si="22"/>
        <v>0</v>
      </c>
      <c r="P370" s="314"/>
      <c r="Q370" s="18"/>
      <c r="R370" s="89"/>
      <c r="S370" s="89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</row>
    <row r="371" ht="15.75" hidden="1" customHeight="1">
      <c r="A371" s="89"/>
      <c r="B371" s="89"/>
      <c r="C371" s="89"/>
      <c r="D371" s="89"/>
      <c r="E371" s="294"/>
      <c r="F371" s="91"/>
      <c r="G371" s="91"/>
      <c r="H371" s="89"/>
      <c r="I371" s="89"/>
      <c r="J371" s="296"/>
      <c r="K371" s="118"/>
      <c r="L371" s="297"/>
      <c r="M371" s="118" t="s">
        <v>1188</v>
      </c>
      <c r="N371" s="313">
        <v>0.0</v>
      </c>
      <c r="O371" s="313">
        <v>0.0</v>
      </c>
      <c r="P371" s="314"/>
      <c r="Q371" s="18"/>
      <c r="R371" s="89"/>
      <c r="S371" s="89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</row>
    <row r="372" ht="15.75" hidden="1" customHeight="1">
      <c r="A372" s="89"/>
      <c r="B372" s="89"/>
      <c r="C372" s="89"/>
      <c r="D372" s="89"/>
      <c r="E372" s="294"/>
      <c r="F372" s="91"/>
      <c r="G372" s="91"/>
      <c r="H372" s="89"/>
      <c r="I372" s="89"/>
      <c r="J372" s="296"/>
      <c r="K372" s="118"/>
      <c r="L372" s="297"/>
      <c r="M372" s="118" t="s">
        <v>1189</v>
      </c>
      <c r="N372" s="313">
        <f t="shared" ref="N372:O372" si="23">N371-N370</f>
        <v>0</v>
      </c>
      <c r="O372" s="313">
        <f t="shared" si="23"/>
        <v>0</v>
      </c>
      <c r="P372" s="314"/>
      <c r="Q372" s="18"/>
      <c r="R372" s="89"/>
      <c r="S372" s="89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</row>
    <row r="373" ht="15.75" hidden="1" customHeight="1">
      <c r="A373" s="89"/>
      <c r="B373" s="89"/>
      <c r="C373" s="89"/>
      <c r="D373" s="89"/>
      <c r="E373" s="294"/>
      <c r="F373" s="91"/>
      <c r="G373" s="91"/>
      <c r="H373" s="89"/>
      <c r="I373" s="89"/>
      <c r="J373" s="296"/>
      <c r="K373" s="118"/>
      <c r="L373" s="297"/>
      <c r="M373" s="118"/>
      <c r="N373" s="89"/>
      <c r="O373" s="89"/>
      <c r="P373" s="314"/>
      <c r="Q373" s="18"/>
      <c r="R373" s="89"/>
      <c r="S373" s="89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</row>
    <row r="374" ht="15.75" hidden="1" customHeight="1">
      <c r="A374" s="89"/>
      <c r="B374" s="89"/>
      <c r="C374" s="89"/>
      <c r="D374" s="89"/>
      <c r="E374" s="294"/>
      <c r="F374" s="91"/>
      <c r="G374" s="91"/>
      <c r="H374" s="89"/>
      <c r="I374" s="89"/>
      <c r="J374" s="296"/>
      <c r="K374" s="118"/>
      <c r="L374" s="297"/>
      <c r="M374" s="118"/>
      <c r="N374" s="315"/>
      <c r="O374" s="315"/>
      <c r="P374" s="316"/>
      <c r="Q374" s="89"/>
      <c r="R374" s="89"/>
      <c r="S374" s="89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</row>
    <row r="375" ht="15.75" hidden="1" customHeight="1">
      <c r="A375" s="89"/>
      <c r="B375" s="89"/>
      <c r="C375" s="89"/>
      <c r="D375" s="89"/>
      <c r="E375" s="294"/>
      <c r="F375" s="91"/>
      <c r="G375" s="91"/>
      <c r="H375" s="89" t="s">
        <v>1190</v>
      </c>
      <c r="I375" s="317"/>
      <c r="J375" s="318"/>
      <c r="K375" s="319"/>
      <c r="L375" s="320"/>
      <c r="M375" s="319"/>
      <c r="N375" s="317"/>
      <c r="O375" s="317"/>
      <c r="P375" s="321"/>
      <c r="Q375" s="317"/>
      <c r="R375" s="317"/>
      <c r="S375" s="89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</row>
    <row r="376" ht="15.75" customHeight="1">
      <c r="A376" s="89"/>
      <c r="B376" s="89"/>
      <c r="C376" s="89"/>
      <c r="D376" s="89"/>
      <c r="E376" s="294"/>
      <c r="F376" s="91"/>
      <c r="G376" s="91"/>
      <c r="H376" s="89" t="s">
        <v>1191</v>
      </c>
      <c r="I376" s="322">
        <f>I364-I375</f>
        <v>0</v>
      </c>
      <c r="J376" s="296"/>
      <c r="K376" s="118"/>
      <c r="L376" s="297"/>
      <c r="M376" s="118"/>
      <c r="N376" s="322">
        <f t="shared" ref="N376:O376" si="24">N364-N375</f>
        <v>0</v>
      </c>
      <c r="O376" s="322">
        <f t="shared" si="24"/>
        <v>0</v>
      </c>
      <c r="P376" s="323"/>
      <c r="Q376" s="322">
        <f t="shared" ref="Q376:R376" si="25">Q364-Q375</f>
        <v>0</v>
      </c>
      <c r="R376" s="322">
        <f t="shared" si="25"/>
        <v>84232145</v>
      </c>
      <c r="S376" s="89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</row>
    <row r="377" ht="15.75" hidden="1" customHeight="1">
      <c r="A377" s="48"/>
      <c r="B377" s="48"/>
      <c r="C377" s="48"/>
      <c r="D377" s="48"/>
      <c r="E377" s="324"/>
      <c r="F377" s="325"/>
      <c r="G377" s="325"/>
      <c r="H377" s="48"/>
      <c r="I377" s="48"/>
      <c r="J377" s="84"/>
      <c r="K377" s="48"/>
      <c r="L377" s="164"/>
      <c r="M377" s="48"/>
      <c r="N377" s="48"/>
      <c r="O377" s="48"/>
      <c r="P377" s="165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</row>
    <row r="378" ht="15.75" hidden="1" customHeight="1">
      <c r="A378" s="48"/>
      <c r="B378" s="48"/>
      <c r="C378" s="48"/>
      <c r="D378" s="48"/>
      <c r="E378" s="324"/>
      <c r="F378" s="325"/>
      <c r="G378" s="325"/>
      <c r="H378" s="48"/>
      <c r="I378" s="48"/>
      <c r="J378" s="84"/>
      <c r="K378" s="48"/>
      <c r="L378" s="164"/>
      <c r="M378" s="48"/>
      <c r="N378" s="48"/>
      <c r="O378" s="48"/>
      <c r="P378" s="165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</row>
    <row r="379" ht="15.75" hidden="1" customHeight="1">
      <c r="A379" s="48"/>
      <c r="B379" s="48"/>
      <c r="C379" s="48"/>
      <c r="D379" s="48"/>
      <c r="E379" s="324"/>
      <c r="F379" s="325"/>
      <c r="G379" s="325"/>
      <c r="H379" s="48"/>
      <c r="I379" s="48"/>
      <c r="J379" s="84"/>
      <c r="K379" s="48"/>
      <c r="L379" s="164"/>
      <c r="M379" s="48"/>
      <c r="N379" s="48"/>
      <c r="O379" s="48"/>
      <c r="P379" s="165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</row>
    <row r="380" ht="15.75" hidden="1" customHeight="1">
      <c r="A380" s="48"/>
      <c r="B380" s="48"/>
      <c r="C380" s="48"/>
      <c r="D380" s="48"/>
      <c r="E380" s="324"/>
      <c r="F380" s="325"/>
      <c r="G380" s="325"/>
      <c r="H380" s="48"/>
      <c r="I380" s="48"/>
      <c r="J380" s="84"/>
      <c r="K380" s="48"/>
      <c r="L380" s="164"/>
      <c r="M380" s="48"/>
      <c r="N380" s="48"/>
      <c r="O380" s="48"/>
      <c r="P380" s="165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</row>
    <row r="381" ht="15.75" hidden="1" customHeight="1">
      <c r="A381" s="48"/>
      <c r="B381" s="48"/>
      <c r="C381" s="48"/>
      <c r="D381" s="48"/>
      <c r="E381" s="324"/>
      <c r="F381" s="325"/>
      <c r="G381" s="325"/>
      <c r="H381" s="48"/>
      <c r="I381" s="48"/>
      <c r="J381" s="84"/>
      <c r="K381" s="48"/>
      <c r="L381" s="164"/>
      <c r="M381" s="48"/>
      <c r="N381" s="48"/>
      <c r="O381" s="48"/>
      <c r="P381" s="165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</row>
    <row r="382" ht="15.75" hidden="1" customHeight="1">
      <c r="A382" s="48"/>
      <c r="B382" s="48"/>
      <c r="C382" s="48"/>
      <c r="D382" s="48"/>
      <c r="E382" s="324"/>
      <c r="F382" s="325"/>
      <c r="G382" s="325"/>
      <c r="H382" s="48"/>
      <c r="I382" s="48"/>
      <c r="J382" s="84"/>
      <c r="K382" s="48"/>
      <c r="L382" s="164"/>
      <c r="M382" s="48"/>
      <c r="N382" s="48"/>
      <c r="O382" s="48"/>
      <c r="P382" s="165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</row>
    <row r="383" ht="15.75" hidden="1" customHeight="1">
      <c r="A383" s="48"/>
      <c r="B383" s="48"/>
      <c r="C383" s="48"/>
      <c r="D383" s="48"/>
      <c r="E383" s="324"/>
      <c r="F383" s="325"/>
      <c r="G383" s="325"/>
      <c r="H383" s="48"/>
      <c r="I383" s="48"/>
      <c r="J383" s="84"/>
      <c r="K383" s="48"/>
      <c r="L383" s="164"/>
      <c r="M383" s="48"/>
      <c r="N383" s="48"/>
      <c r="O383" s="48"/>
      <c r="P383" s="165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</row>
    <row r="384" ht="15.75" hidden="1" customHeight="1">
      <c r="A384" s="48"/>
      <c r="B384" s="48"/>
      <c r="C384" s="48"/>
      <c r="D384" s="48"/>
      <c r="E384" s="324"/>
      <c r="F384" s="325"/>
      <c r="G384" s="325"/>
      <c r="H384" s="48"/>
      <c r="I384" s="48"/>
      <c r="J384" s="84"/>
      <c r="K384" s="48"/>
      <c r="L384" s="164"/>
      <c r="M384" s="48"/>
      <c r="N384" s="48"/>
      <c r="O384" s="48"/>
      <c r="P384" s="165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</row>
    <row r="385" ht="15.75" hidden="1" customHeight="1">
      <c r="A385" s="48"/>
      <c r="B385" s="48"/>
      <c r="C385" s="48"/>
      <c r="D385" s="48"/>
      <c r="E385" s="324"/>
      <c r="F385" s="325"/>
      <c r="G385" s="325"/>
      <c r="H385" s="48"/>
      <c r="I385" s="48"/>
      <c r="J385" s="84"/>
      <c r="K385" s="48"/>
      <c r="L385" s="164"/>
      <c r="M385" s="48"/>
      <c r="N385" s="48"/>
      <c r="O385" s="48"/>
      <c r="P385" s="165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</row>
    <row r="386" ht="15.75" hidden="1" customHeight="1">
      <c r="A386" s="48"/>
      <c r="B386" s="48"/>
      <c r="C386" s="48"/>
      <c r="D386" s="48"/>
      <c r="E386" s="324"/>
      <c r="F386" s="325"/>
      <c r="G386" s="325"/>
      <c r="H386" s="48"/>
      <c r="I386" s="48"/>
      <c r="J386" s="84"/>
      <c r="K386" s="48"/>
      <c r="L386" s="164"/>
      <c r="M386" s="48"/>
      <c r="N386" s="48"/>
      <c r="O386" s="48"/>
      <c r="P386" s="165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</row>
    <row r="387" ht="15.75" hidden="1" customHeight="1">
      <c r="A387" s="48"/>
      <c r="B387" s="48"/>
      <c r="C387" s="48"/>
      <c r="D387" s="48"/>
      <c r="E387" s="324"/>
      <c r="F387" s="325"/>
      <c r="G387" s="325"/>
      <c r="H387" s="48"/>
      <c r="I387" s="48"/>
      <c r="J387" s="84"/>
      <c r="K387" s="48"/>
      <c r="L387" s="164"/>
      <c r="M387" s="48"/>
      <c r="N387" s="48"/>
      <c r="O387" s="48"/>
      <c r="P387" s="165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</row>
    <row r="388" ht="15.75" hidden="1" customHeight="1">
      <c r="A388" s="48"/>
      <c r="B388" s="48"/>
      <c r="C388" s="48"/>
      <c r="D388" s="48"/>
      <c r="E388" s="324"/>
      <c r="F388" s="325"/>
      <c r="G388" s="325"/>
      <c r="H388" s="48"/>
      <c r="I388" s="48"/>
      <c r="J388" s="84"/>
      <c r="K388" s="48"/>
      <c r="L388" s="164"/>
      <c r="M388" s="48"/>
      <c r="N388" s="48"/>
      <c r="O388" s="48"/>
      <c r="P388" s="165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</row>
    <row r="389" ht="15.75" hidden="1" customHeight="1">
      <c r="A389" s="48"/>
      <c r="B389" s="326" t="s">
        <v>123</v>
      </c>
      <c r="C389" s="46" t="s">
        <v>123</v>
      </c>
      <c r="D389" s="326"/>
      <c r="E389" s="327"/>
      <c r="F389" s="328" t="s">
        <v>217</v>
      </c>
      <c r="G389" s="329">
        <v>45909.0</v>
      </c>
      <c r="H389" s="48"/>
      <c r="I389" s="330">
        <v>5062500.0</v>
      </c>
      <c r="J389" s="84"/>
      <c r="K389" s="48"/>
      <c r="L389" s="164"/>
      <c r="M389" s="48"/>
      <c r="N389" s="48"/>
      <c r="O389" s="48"/>
      <c r="P389" s="165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</row>
    <row r="390" ht="15.75" hidden="1" customHeight="1">
      <c r="A390" s="48"/>
      <c r="B390" s="326" t="s">
        <v>220</v>
      </c>
      <c r="C390" s="46" t="s">
        <v>220</v>
      </c>
      <c r="D390" s="326"/>
      <c r="E390" s="327"/>
      <c r="F390" s="329"/>
      <c r="G390" s="329">
        <v>45915.0</v>
      </c>
      <c r="H390" s="48"/>
      <c r="I390" s="330">
        <v>4684781.0</v>
      </c>
      <c r="J390" s="84"/>
      <c r="K390" s="48"/>
      <c r="L390" s="164"/>
      <c r="M390" s="48"/>
      <c r="N390" s="48"/>
      <c r="O390" s="48"/>
      <c r="P390" s="165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</row>
    <row r="391" ht="15.75" hidden="1" customHeight="1">
      <c r="A391" s="48"/>
      <c r="B391" s="48"/>
      <c r="C391" s="48"/>
      <c r="D391" s="48"/>
      <c r="E391" s="324"/>
      <c r="F391" s="325"/>
      <c r="G391" s="325"/>
      <c r="H391" s="48"/>
      <c r="I391" s="48"/>
      <c r="J391" s="84"/>
      <c r="K391" s="48"/>
      <c r="L391" s="164"/>
      <c r="M391" s="48"/>
      <c r="N391" s="48"/>
      <c r="O391" s="48"/>
      <c r="P391" s="165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</row>
    <row r="392" ht="15.75" hidden="1" customHeight="1">
      <c r="A392" s="48"/>
      <c r="B392" s="48"/>
      <c r="C392" s="48"/>
      <c r="D392" s="48"/>
      <c r="E392" s="324"/>
      <c r="F392" s="325"/>
      <c r="G392" s="325"/>
      <c r="H392" s="48"/>
      <c r="I392" s="48"/>
      <c r="J392" s="84"/>
      <c r="K392" s="48"/>
      <c r="L392" s="164"/>
      <c r="M392" s="48"/>
      <c r="N392" s="48"/>
      <c r="O392" s="48"/>
      <c r="P392" s="165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</row>
    <row r="393" ht="15.75" hidden="1" customHeight="1">
      <c r="A393" s="48"/>
      <c r="B393" s="48"/>
      <c r="C393" s="48"/>
      <c r="D393" s="48"/>
      <c r="E393" s="324"/>
      <c r="F393" s="325"/>
      <c r="G393" s="325"/>
      <c r="H393" s="48"/>
      <c r="I393" s="48"/>
      <c r="J393" s="84"/>
      <c r="K393" s="48"/>
      <c r="L393" s="164"/>
      <c r="M393" s="48"/>
      <c r="N393" s="48"/>
      <c r="O393" s="48"/>
      <c r="P393" s="165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</row>
    <row r="394" ht="15.75" hidden="1" customHeight="1">
      <c r="A394" s="48"/>
      <c r="B394" s="48"/>
      <c r="C394" s="48"/>
      <c r="D394" s="48"/>
      <c r="E394" s="324"/>
      <c r="F394" s="325"/>
      <c r="G394" s="325"/>
      <c r="H394" s="48"/>
      <c r="I394" s="48"/>
      <c r="J394" s="84"/>
      <c r="K394" s="48"/>
      <c r="L394" s="164"/>
      <c r="M394" s="48"/>
      <c r="N394" s="48"/>
      <c r="O394" s="48"/>
      <c r="P394" s="165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</row>
    <row r="395" ht="15.75" hidden="1" customHeight="1">
      <c r="A395" s="48"/>
      <c r="B395" s="48"/>
      <c r="C395" s="48"/>
      <c r="D395" s="48"/>
      <c r="E395" s="324"/>
      <c r="F395" s="325"/>
      <c r="G395" s="325"/>
      <c r="H395" s="48"/>
      <c r="I395" s="48"/>
      <c r="J395" s="84"/>
      <c r="K395" s="48"/>
      <c r="L395" s="164"/>
      <c r="M395" s="48"/>
      <c r="N395" s="48"/>
      <c r="O395" s="48"/>
      <c r="P395" s="165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</row>
    <row r="396" ht="15.75" hidden="1" customHeight="1">
      <c r="A396" s="48"/>
      <c r="B396" s="48"/>
      <c r="C396" s="48"/>
      <c r="D396" s="48"/>
      <c r="E396" s="324"/>
      <c r="F396" s="325"/>
      <c r="G396" s="325"/>
      <c r="H396" s="48"/>
      <c r="I396" s="48"/>
      <c r="J396" s="84"/>
      <c r="K396" s="48"/>
      <c r="L396" s="164"/>
      <c r="M396" s="48"/>
      <c r="N396" s="48"/>
      <c r="O396" s="48"/>
      <c r="P396" s="165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</row>
    <row r="397" ht="15.75" hidden="1" customHeight="1">
      <c r="A397" s="48"/>
      <c r="B397" s="48"/>
      <c r="C397" s="48"/>
      <c r="D397" s="48"/>
      <c r="E397" s="324"/>
      <c r="F397" s="325"/>
      <c r="G397" s="325"/>
      <c r="H397" s="48"/>
      <c r="I397" s="48"/>
      <c r="J397" s="84"/>
      <c r="K397" s="48"/>
      <c r="L397" s="164"/>
      <c r="M397" s="48"/>
      <c r="N397" s="48"/>
      <c r="O397" s="48"/>
      <c r="P397" s="165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</row>
    <row r="398" ht="15.75" hidden="1" customHeight="1">
      <c r="A398" s="48"/>
      <c r="B398" s="48"/>
      <c r="C398" s="48"/>
      <c r="D398" s="48"/>
      <c r="E398" s="324"/>
      <c r="F398" s="325"/>
      <c r="G398" s="325"/>
      <c r="H398" s="48"/>
      <c r="I398" s="48"/>
      <c r="J398" s="84"/>
      <c r="K398" s="48"/>
      <c r="L398" s="164"/>
      <c r="M398" s="48"/>
      <c r="N398" s="48"/>
      <c r="O398" s="48"/>
      <c r="P398" s="165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</row>
    <row r="399" ht="15.75" hidden="1" customHeight="1">
      <c r="A399" s="48"/>
      <c r="B399" s="48"/>
      <c r="C399" s="48"/>
      <c r="D399" s="48"/>
      <c r="E399" s="324"/>
      <c r="F399" s="325"/>
      <c r="G399" s="325"/>
      <c r="H399" s="48"/>
      <c r="I399" s="48"/>
      <c r="J399" s="84"/>
      <c r="K399" s="48"/>
      <c r="L399" s="164"/>
      <c r="M399" s="48"/>
      <c r="N399" s="48"/>
      <c r="O399" s="48"/>
      <c r="P399" s="165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</row>
    <row r="400" ht="15.75" hidden="1" customHeight="1">
      <c r="A400" s="48"/>
      <c r="B400" s="48"/>
      <c r="C400" s="48"/>
      <c r="D400" s="48"/>
      <c r="E400" s="324"/>
      <c r="F400" s="325"/>
      <c r="G400" s="325"/>
      <c r="H400" s="48"/>
      <c r="I400" s="48"/>
      <c r="J400" s="84"/>
      <c r="K400" s="48"/>
      <c r="L400" s="164"/>
      <c r="M400" s="48"/>
      <c r="N400" s="48"/>
      <c r="O400" s="48"/>
      <c r="P400" s="165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</row>
    <row r="401" ht="15.75" hidden="1" customHeight="1">
      <c r="A401" s="48"/>
      <c r="B401" s="48"/>
      <c r="C401" s="48"/>
      <c r="D401" s="48"/>
      <c r="E401" s="324"/>
      <c r="F401" s="325"/>
      <c r="G401" s="325"/>
      <c r="H401" s="48"/>
      <c r="I401" s="48"/>
      <c r="J401" s="84"/>
      <c r="K401" s="48"/>
      <c r="L401" s="164"/>
      <c r="M401" s="48"/>
      <c r="N401" s="48"/>
      <c r="O401" s="48"/>
      <c r="P401" s="165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</row>
    <row r="402" ht="15.75" hidden="1" customHeight="1">
      <c r="A402" s="48"/>
      <c r="B402" s="48"/>
      <c r="C402" s="48"/>
      <c r="D402" s="48"/>
      <c r="E402" s="324"/>
      <c r="F402" s="325"/>
      <c r="G402" s="325"/>
      <c r="H402" s="48"/>
      <c r="I402" s="48"/>
      <c r="J402" s="84"/>
      <c r="K402" s="48"/>
      <c r="L402" s="164"/>
      <c r="M402" s="48"/>
      <c r="N402" s="48"/>
      <c r="O402" s="48"/>
      <c r="P402" s="165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</row>
    <row r="403" ht="15.75" hidden="1" customHeight="1">
      <c r="A403" s="48"/>
      <c r="B403" s="48"/>
      <c r="C403" s="48"/>
      <c r="D403" s="48"/>
      <c r="E403" s="324"/>
      <c r="F403" s="325"/>
      <c r="G403" s="325"/>
      <c r="H403" s="48"/>
      <c r="I403" s="48"/>
      <c r="J403" s="84"/>
      <c r="K403" s="48"/>
      <c r="L403" s="164"/>
      <c r="M403" s="48"/>
      <c r="N403" s="48"/>
      <c r="O403" s="48"/>
      <c r="P403" s="165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</row>
    <row r="404" ht="15.75" hidden="1" customHeight="1">
      <c r="A404" s="48"/>
      <c r="B404" s="48"/>
      <c r="C404" s="48"/>
      <c r="D404" s="48"/>
      <c r="E404" s="324"/>
      <c r="F404" s="325"/>
      <c r="G404" s="325"/>
      <c r="H404" s="48"/>
      <c r="I404" s="48"/>
      <c r="J404" s="84"/>
      <c r="K404" s="48"/>
      <c r="L404" s="164"/>
      <c r="M404" s="48"/>
      <c r="N404" s="48"/>
      <c r="O404" s="48"/>
      <c r="P404" s="165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</row>
    <row r="405" ht="15.75" hidden="1" customHeight="1">
      <c r="A405" s="48"/>
      <c r="B405" s="48"/>
      <c r="C405" s="48"/>
      <c r="D405" s="48"/>
      <c r="E405" s="324"/>
      <c r="F405" s="325"/>
      <c r="G405" s="325"/>
      <c r="H405" s="48"/>
      <c r="I405" s="48"/>
      <c r="J405" s="84"/>
      <c r="K405" s="48"/>
      <c r="L405" s="164"/>
      <c r="M405" s="48"/>
      <c r="N405" s="48"/>
      <c r="O405" s="48"/>
      <c r="P405" s="165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</row>
    <row r="406" ht="15.75" hidden="1" customHeight="1">
      <c r="A406" s="48"/>
      <c r="B406" s="48"/>
      <c r="C406" s="48"/>
      <c r="D406" s="48"/>
      <c r="E406" s="324"/>
      <c r="F406" s="325"/>
      <c r="G406" s="325"/>
      <c r="H406" s="48"/>
      <c r="I406" s="48"/>
      <c r="J406" s="84"/>
      <c r="K406" s="48"/>
      <c r="L406" s="164"/>
      <c r="M406" s="48"/>
      <c r="N406" s="48"/>
      <c r="O406" s="48"/>
      <c r="P406" s="165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</row>
    <row r="407" ht="15.75" hidden="1" customHeight="1">
      <c r="A407" s="48"/>
      <c r="B407" s="48"/>
      <c r="C407" s="48"/>
      <c r="D407" s="48"/>
      <c r="E407" s="324"/>
      <c r="F407" s="325"/>
      <c r="G407" s="325"/>
      <c r="H407" s="48"/>
      <c r="I407" s="48"/>
      <c r="J407" s="84"/>
      <c r="K407" s="48"/>
      <c r="L407" s="164"/>
      <c r="M407" s="48"/>
      <c r="N407" s="48"/>
      <c r="O407" s="48"/>
      <c r="P407" s="165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</row>
    <row r="408" ht="15.75" hidden="1" customHeight="1">
      <c r="A408" s="48"/>
      <c r="B408" s="48"/>
      <c r="C408" s="48"/>
      <c r="D408" s="48"/>
      <c r="E408" s="324"/>
      <c r="F408" s="325"/>
      <c r="G408" s="325"/>
      <c r="H408" s="48"/>
      <c r="I408" s="48"/>
      <c r="J408" s="84"/>
      <c r="K408" s="48"/>
      <c r="L408" s="164"/>
      <c r="M408" s="48"/>
      <c r="N408" s="48"/>
      <c r="O408" s="48"/>
      <c r="P408" s="165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</row>
    <row r="409" ht="15.75" hidden="1" customHeight="1">
      <c r="A409" s="48"/>
      <c r="B409" s="48"/>
      <c r="C409" s="48"/>
      <c r="D409" s="48"/>
      <c r="E409" s="324"/>
      <c r="F409" s="325"/>
      <c r="G409" s="325"/>
      <c r="H409" s="48"/>
      <c r="I409" s="48"/>
      <c r="J409" s="84"/>
      <c r="K409" s="48"/>
      <c r="L409" s="164"/>
      <c r="M409" s="48"/>
      <c r="N409" s="48"/>
      <c r="O409" s="48"/>
      <c r="P409" s="165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</row>
    <row r="410" ht="15.75" hidden="1" customHeight="1">
      <c r="A410" s="48"/>
      <c r="B410" s="48"/>
      <c r="C410" s="48"/>
      <c r="D410" s="48"/>
      <c r="E410" s="324"/>
      <c r="F410" s="325"/>
      <c r="G410" s="325"/>
      <c r="H410" s="48"/>
      <c r="I410" s="48"/>
      <c r="J410" s="84"/>
      <c r="K410" s="48"/>
      <c r="L410" s="164"/>
      <c r="M410" s="48"/>
      <c r="N410" s="48"/>
      <c r="O410" s="48"/>
      <c r="P410" s="165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</row>
    <row r="411" ht="15.75" hidden="1" customHeight="1">
      <c r="A411" s="48"/>
      <c r="B411" s="48"/>
      <c r="C411" s="48"/>
      <c r="D411" s="48"/>
      <c r="E411" s="324"/>
      <c r="F411" s="325"/>
      <c r="G411" s="325"/>
      <c r="H411" s="48"/>
      <c r="I411" s="48"/>
      <c r="J411" s="84"/>
      <c r="K411" s="48"/>
      <c r="L411" s="164"/>
      <c r="M411" s="48"/>
      <c r="N411" s="48"/>
      <c r="O411" s="48"/>
      <c r="P411" s="165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</row>
    <row r="412" ht="15.75" hidden="1" customHeight="1">
      <c r="A412" s="48"/>
      <c r="B412" s="48"/>
      <c r="C412" s="48"/>
      <c r="D412" s="48"/>
      <c r="E412" s="324"/>
      <c r="F412" s="325"/>
      <c r="G412" s="325"/>
      <c r="H412" s="48"/>
      <c r="I412" s="48"/>
      <c r="J412" s="84"/>
      <c r="K412" s="48"/>
      <c r="L412" s="164"/>
      <c r="M412" s="48"/>
      <c r="N412" s="48"/>
      <c r="O412" s="48"/>
      <c r="P412" s="165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</row>
    <row r="413" ht="15.75" hidden="1" customHeight="1">
      <c r="A413" s="48"/>
      <c r="B413" s="48"/>
      <c r="C413" s="48"/>
      <c r="D413" s="48"/>
      <c r="E413" s="324"/>
      <c r="F413" s="325"/>
      <c r="G413" s="325"/>
      <c r="H413" s="48"/>
      <c r="I413" s="48"/>
      <c r="J413" s="84"/>
      <c r="K413" s="48"/>
      <c r="L413" s="164"/>
      <c r="M413" s="48"/>
      <c r="N413" s="48"/>
      <c r="O413" s="48"/>
      <c r="P413" s="165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</row>
    <row r="414" ht="15.75" hidden="1" customHeight="1">
      <c r="A414" s="48"/>
      <c r="B414" s="48"/>
      <c r="C414" s="48"/>
      <c r="D414" s="48"/>
      <c r="E414" s="324"/>
      <c r="F414" s="325"/>
      <c r="G414" s="325"/>
      <c r="H414" s="48"/>
      <c r="I414" s="48"/>
      <c r="J414" s="84"/>
      <c r="K414" s="48"/>
      <c r="L414" s="164"/>
      <c r="M414" s="48"/>
      <c r="N414" s="48"/>
      <c r="O414" s="48"/>
      <c r="P414" s="165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</row>
    <row r="415" ht="15.75" hidden="1" customHeight="1">
      <c r="A415" s="48"/>
      <c r="B415" s="48"/>
      <c r="C415" s="48"/>
      <c r="D415" s="48"/>
      <c r="E415" s="324"/>
      <c r="F415" s="325"/>
      <c r="G415" s="325"/>
      <c r="H415" s="48"/>
      <c r="I415" s="48"/>
      <c r="J415" s="84"/>
      <c r="K415" s="48"/>
      <c r="L415" s="164"/>
      <c r="M415" s="48"/>
      <c r="N415" s="48"/>
      <c r="O415" s="48"/>
      <c r="P415" s="165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</row>
    <row r="416" ht="15.75" hidden="1" customHeight="1">
      <c r="A416" s="48"/>
      <c r="B416" s="48"/>
      <c r="C416" s="48"/>
      <c r="D416" s="48"/>
      <c r="E416" s="324"/>
      <c r="F416" s="325"/>
      <c r="G416" s="325"/>
      <c r="H416" s="48"/>
      <c r="I416" s="48"/>
      <c r="J416" s="84"/>
      <c r="K416" s="48"/>
      <c r="L416" s="164"/>
      <c r="M416" s="48"/>
      <c r="N416" s="48"/>
      <c r="O416" s="48"/>
      <c r="P416" s="165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</row>
    <row r="417" ht="15.75" hidden="1" customHeight="1">
      <c r="A417" s="48"/>
      <c r="B417" s="48"/>
      <c r="C417" s="48"/>
      <c r="D417" s="48"/>
      <c r="E417" s="324"/>
      <c r="F417" s="325"/>
      <c r="G417" s="325"/>
      <c r="H417" s="48"/>
      <c r="I417" s="48"/>
      <c r="J417" s="84"/>
      <c r="K417" s="48"/>
      <c r="L417" s="164"/>
      <c r="M417" s="48"/>
      <c r="N417" s="48"/>
      <c r="O417" s="48"/>
      <c r="P417" s="165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</row>
    <row r="418" ht="15.75" hidden="1" customHeight="1">
      <c r="A418" s="48"/>
      <c r="B418" s="48"/>
      <c r="C418" s="48"/>
      <c r="D418" s="48"/>
      <c r="E418" s="324"/>
      <c r="F418" s="325"/>
      <c r="G418" s="325"/>
      <c r="H418" s="48"/>
      <c r="I418" s="48"/>
      <c r="J418" s="84"/>
      <c r="K418" s="48"/>
      <c r="L418" s="164"/>
      <c r="M418" s="48"/>
      <c r="N418" s="48"/>
      <c r="O418" s="48"/>
      <c r="P418" s="165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</row>
    <row r="419" ht="15.75" hidden="1" customHeight="1">
      <c r="A419" s="48"/>
      <c r="B419" s="48"/>
      <c r="C419" s="48"/>
      <c r="D419" s="48"/>
      <c r="E419" s="324"/>
      <c r="F419" s="325"/>
      <c r="G419" s="325"/>
      <c r="H419" s="48"/>
      <c r="I419" s="48"/>
      <c r="J419" s="84"/>
      <c r="K419" s="48"/>
      <c r="L419" s="164"/>
      <c r="M419" s="48"/>
      <c r="N419" s="48"/>
      <c r="O419" s="48"/>
      <c r="P419" s="165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</row>
    <row r="420" ht="15.75" hidden="1" customHeight="1">
      <c r="A420" s="48"/>
      <c r="B420" s="48"/>
      <c r="C420" s="48"/>
      <c r="D420" s="48"/>
      <c r="E420" s="324"/>
      <c r="F420" s="325"/>
      <c r="G420" s="325"/>
      <c r="H420" s="48"/>
      <c r="I420" s="48"/>
      <c r="J420" s="84"/>
      <c r="K420" s="48"/>
      <c r="L420" s="164"/>
      <c r="M420" s="48"/>
      <c r="N420" s="48"/>
      <c r="O420" s="48"/>
      <c r="P420" s="165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</row>
    <row r="421" ht="15.75" hidden="1" customHeight="1">
      <c r="A421" s="48"/>
      <c r="B421" s="48"/>
      <c r="C421" s="48"/>
      <c r="D421" s="48"/>
      <c r="E421" s="324"/>
      <c r="F421" s="325"/>
      <c r="G421" s="325"/>
      <c r="H421" s="48"/>
      <c r="I421" s="48"/>
      <c r="J421" s="84"/>
      <c r="K421" s="48"/>
      <c r="L421" s="164"/>
      <c r="M421" s="48"/>
      <c r="N421" s="48"/>
      <c r="O421" s="48"/>
      <c r="P421" s="165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</row>
    <row r="422" ht="15.75" hidden="1" customHeight="1">
      <c r="A422" s="48"/>
      <c r="B422" s="48"/>
      <c r="C422" s="48"/>
      <c r="D422" s="48"/>
      <c r="E422" s="324"/>
      <c r="F422" s="325"/>
      <c r="G422" s="325"/>
      <c r="H422" s="48"/>
      <c r="I422" s="48"/>
      <c r="J422" s="84"/>
      <c r="K422" s="48"/>
      <c r="L422" s="164"/>
      <c r="M422" s="48"/>
      <c r="N422" s="48"/>
      <c r="O422" s="48"/>
      <c r="P422" s="165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</row>
    <row r="423" ht="15.75" hidden="1" customHeight="1">
      <c r="A423" s="48"/>
      <c r="B423" s="48"/>
      <c r="C423" s="48"/>
      <c r="D423" s="48"/>
      <c r="E423" s="324"/>
      <c r="F423" s="325"/>
      <c r="G423" s="325"/>
      <c r="H423" s="48"/>
      <c r="I423" s="48"/>
      <c r="J423" s="84"/>
      <c r="K423" s="48"/>
      <c r="L423" s="164"/>
      <c r="M423" s="48"/>
      <c r="N423" s="48"/>
      <c r="O423" s="48"/>
      <c r="P423" s="165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</row>
    <row r="424" ht="15.75" hidden="1" customHeight="1">
      <c r="A424" s="48"/>
      <c r="B424" s="48"/>
      <c r="C424" s="48"/>
      <c r="D424" s="48"/>
      <c r="E424" s="324"/>
      <c r="F424" s="325"/>
      <c r="G424" s="325"/>
      <c r="H424" s="48"/>
      <c r="I424" s="48"/>
      <c r="J424" s="84"/>
      <c r="K424" s="48"/>
      <c r="L424" s="164"/>
      <c r="M424" s="48"/>
      <c r="N424" s="48"/>
      <c r="O424" s="48"/>
      <c r="P424" s="165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</row>
    <row r="425" ht="15.75" hidden="1" customHeight="1">
      <c r="A425" s="48"/>
      <c r="B425" s="48"/>
      <c r="C425" s="48"/>
      <c r="D425" s="48"/>
      <c r="E425" s="324"/>
      <c r="F425" s="325"/>
      <c r="G425" s="325"/>
      <c r="H425" s="48"/>
      <c r="I425" s="48"/>
      <c r="J425" s="84"/>
      <c r="K425" s="48"/>
      <c r="L425" s="164"/>
      <c r="M425" s="48"/>
      <c r="N425" s="48"/>
      <c r="O425" s="48"/>
      <c r="P425" s="165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</row>
    <row r="426" ht="15.75" hidden="1" customHeight="1">
      <c r="A426" s="48"/>
      <c r="B426" s="48"/>
      <c r="C426" s="48"/>
      <c r="D426" s="48"/>
      <c r="E426" s="324"/>
      <c r="F426" s="325"/>
      <c r="G426" s="325"/>
      <c r="H426" s="48"/>
      <c r="I426" s="48"/>
      <c r="J426" s="84"/>
      <c r="K426" s="48"/>
      <c r="L426" s="164"/>
      <c r="M426" s="48"/>
      <c r="N426" s="48"/>
      <c r="O426" s="48"/>
      <c r="P426" s="165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</row>
    <row r="427" ht="15.75" hidden="1" customHeight="1">
      <c r="A427" s="48"/>
      <c r="B427" s="48"/>
      <c r="C427" s="48"/>
      <c r="D427" s="48"/>
      <c r="E427" s="324"/>
      <c r="F427" s="325"/>
      <c r="G427" s="325"/>
      <c r="H427" s="48"/>
      <c r="I427" s="48"/>
      <c r="J427" s="84"/>
      <c r="K427" s="48"/>
      <c r="L427" s="164"/>
      <c r="M427" s="48"/>
      <c r="N427" s="48"/>
      <c r="O427" s="48"/>
      <c r="P427" s="165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</row>
    <row r="428" ht="15.75" hidden="1" customHeight="1">
      <c r="A428" s="48"/>
      <c r="B428" s="48"/>
      <c r="C428" s="48"/>
      <c r="D428" s="48"/>
      <c r="E428" s="324"/>
      <c r="F428" s="325"/>
      <c r="G428" s="325"/>
      <c r="H428" s="48"/>
      <c r="I428" s="48"/>
      <c r="J428" s="84"/>
      <c r="K428" s="48"/>
      <c r="L428" s="164"/>
      <c r="M428" s="48"/>
      <c r="N428" s="48"/>
      <c r="O428" s="48"/>
      <c r="P428" s="165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</row>
    <row r="429" ht="15.75" hidden="1" customHeight="1">
      <c r="A429" s="48"/>
      <c r="B429" s="48"/>
      <c r="C429" s="48"/>
      <c r="D429" s="48"/>
      <c r="E429" s="324"/>
      <c r="F429" s="325"/>
      <c r="G429" s="325"/>
      <c r="H429" s="48"/>
      <c r="I429" s="48"/>
      <c r="J429" s="84"/>
      <c r="K429" s="48"/>
      <c r="L429" s="164"/>
      <c r="M429" s="48"/>
      <c r="N429" s="48"/>
      <c r="O429" s="48"/>
      <c r="P429" s="165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</row>
    <row r="430" ht="15.75" hidden="1" customHeight="1">
      <c r="A430" s="48"/>
      <c r="B430" s="48"/>
      <c r="C430" s="48"/>
      <c r="D430" s="48"/>
      <c r="E430" s="324"/>
      <c r="F430" s="325"/>
      <c r="G430" s="325"/>
      <c r="H430" s="48"/>
      <c r="I430" s="48"/>
      <c r="J430" s="84"/>
      <c r="K430" s="48"/>
      <c r="L430" s="164"/>
      <c r="M430" s="48"/>
      <c r="N430" s="48"/>
      <c r="O430" s="48"/>
      <c r="P430" s="165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</row>
    <row r="431" ht="15.75" hidden="1" customHeight="1">
      <c r="A431" s="48"/>
      <c r="B431" s="48"/>
      <c r="C431" s="48"/>
      <c r="D431" s="48"/>
      <c r="E431" s="324"/>
      <c r="F431" s="325"/>
      <c r="G431" s="325"/>
      <c r="H431" s="48"/>
      <c r="I431" s="48"/>
      <c r="J431" s="84"/>
      <c r="K431" s="48"/>
      <c r="L431" s="164"/>
      <c r="M431" s="48"/>
      <c r="N431" s="48"/>
      <c r="O431" s="48"/>
      <c r="P431" s="165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</row>
    <row r="432" ht="15.75" hidden="1" customHeight="1">
      <c r="A432" s="48"/>
      <c r="B432" s="48"/>
      <c r="C432" s="48"/>
      <c r="D432" s="48"/>
      <c r="E432" s="324"/>
      <c r="F432" s="325"/>
      <c r="G432" s="325"/>
      <c r="H432" s="48"/>
      <c r="I432" s="48"/>
      <c r="J432" s="84"/>
      <c r="K432" s="48"/>
      <c r="L432" s="164"/>
      <c r="M432" s="48"/>
      <c r="N432" s="48"/>
      <c r="O432" s="48"/>
      <c r="P432" s="165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</row>
    <row r="433" ht="15.75" hidden="1" customHeight="1">
      <c r="A433" s="48"/>
      <c r="B433" s="48"/>
      <c r="C433" s="48"/>
      <c r="D433" s="48"/>
      <c r="E433" s="324"/>
      <c r="F433" s="325"/>
      <c r="G433" s="325"/>
      <c r="H433" s="48"/>
      <c r="I433" s="48"/>
      <c r="J433" s="84"/>
      <c r="K433" s="48"/>
      <c r="L433" s="164"/>
      <c r="M433" s="48"/>
      <c r="N433" s="48"/>
      <c r="O433" s="48"/>
      <c r="P433" s="165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</row>
    <row r="434" ht="15.75" hidden="1" customHeight="1">
      <c r="A434" s="48"/>
      <c r="B434" s="48"/>
      <c r="C434" s="48"/>
      <c r="D434" s="48"/>
      <c r="E434" s="324"/>
      <c r="F434" s="325"/>
      <c r="G434" s="325"/>
      <c r="H434" s="48"/>
      <c r="I434" s="48"/>
      <c r="J434" s="84"/>
      <c r="K434" s="48"/>
      <c r="L434" s="164"/>
      <c r="M434" s="48"/>
      <c r="N434" s="48"/>
      <c r="O434" s="48"/>
      <c r="P434" s="165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</row>
    <row r="435" ht="15.75" hidden="1" customHeight="1">
      <c r="A435" s="48"/>
      <c r="B435" s="48"/>
      <c r="C435" s="48"/>
      <c r="D435" s="48"/>
      <c r="E435" s="324"/>
      <c r="F435" s="325"/>
      <c r="G435" s="325"/>
      <c r="H435" s="48"/>
      <c r="I435" s="48"/>
      <c r="J435" s="84"/>
      <c r="K435" s="48"/>
      <c r="L435" s="164"/>
      <c r="M435" s="48"/>
      <c r="N435" s="48"/>
      <c r="O435" s="48"/>
      <c r="P435" s="165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</row>
    <row r="436" ht="15.75" hidden="1" customHeight="1">
      <c r="A436" s="48"/>
      <c r="B436" s="48"/>
      <c r="C436" s="48"/>
      <c r="D436" s="48"/>
      <c r="E436" s="324"/>
      <c r="F436" s="325"/>
      <c r="G436" s="325"/>
      <c r="H436" s="48"/>
      <c r="I436" s="48"/>
      <c r="J436" s="84"/>
      <c r="K436" s="48"/>
      <c r="L436" s="164"/>
      <c r="M436" s="48"/>
      <c r="N436" s="48"/>
      <c r="O436" s="48"/>
      <c r="P436" s="165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</row>
    <row r="437" ht="15.75" hidden="1" customHeight="1">
      <c r="A437" s="48"/>
      <c r="B437" s="48"/>
      <c r="C437" s="48"/>
      <c r="D437" s="48"/>
      <c r="E437" s="324"/>
      <c r="F437" s="325"/>
      <c r="G437" s="325"/>
      <c r="H437" s="48"/>
      <c r="I437" s="48"/>
      <c r="J437" s="84"/>
      <c r="K437" s="48"/>
      <c r="L437" s="164"/>
      <c r="M437" s="48"/>
      <c r="N437" s="48"/>
      <c r="O437" s="48"/>
      <c r="P437" s="165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</row>
    <row r="438" ht="15.75" hidden="1" customHeight="1">
      <c r="A438" s="48"/>
      <c r="B438" s="48"/>
      <c r="C438" s="48"/>
      <c r="D438" s="48"/>
      <c r="E438" s="324"/>
      <c r="F438" s="325"/>
      <c r="G438" s="325"/>
      <c r="H438" s="48"/>
      <c r="I438" s="48"/>
      <c r="J438" s="84"/>
      <c r="K438" s="48"/>
      <c r="L438" s="164"/>
      <c r="M438" s="48"/>
      <c r="N438" s="48"/>
      <c r="O438" s="48"/>
      <c r="P438" s="165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</row>
    <row r="439" ht="15.75" hidden="1" customHeight="1">
      <c r="A439" s="48"/>
      <c r="B439" s="48"/>
      <c r="C439" s="48"/>
      <c r="D439" s="48"/>
      <c r="E439" s="324"/>
      <c r="F439" s="325"/>
      <c r="G439" s="325"/>
      <c r="H439" s="48"/>
      <c r="I439" s="48"/>
      <c r="J439" s="84"/>
      <c r="K439" s="48"/>
      <c r="L439" s="164"/>
      <c r="M439" s="48"/>
      <c r="N439" s="48"/>
      <c r="O439" s="48"/>
      <c r="P439" s="165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</row>
    <row r="440" ht="15.75" hidden="1" customHeight="1">
      <c r="A440" s="48"/>
      <c r="B440" s="48"/>
      <c r="C440" s="48"/>
      <c r="D440" s="48"/>
      <c r="E440" s="324"/>
      <c r="F440" s="325"/>
      <c r="G440" s="325"/>
      <c r="H440" s="48"/>
      <c r="I440" s="48"/>
      <c r="J440" s="84"/>
      <c r="K440" s="48"/>
      <c r="L440" s="164"/>
      <c r="M440" s="48"/>
      <c r="N440" s="48"/>
      <c r="O440" s="48"/>
      <c r="P440" s="165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</row>
    <row r="441" ht="15.75" hidden="1" customHeight="1">
      <c r="A441" s="48"/>
      <c r="B441" s="48"/>
      <c r="C441" s="48"/>
      <c r="D441" s="48"/>
      <c r="E441" s="324"/>
      <c r="F441" s="325"/>
      <c r="G441" s="325"/>
      <c r="H441" s="48"/>
      <c r="I441" s="48"/>
      <c r="J441" s="84"/>
      <c r="K441" s="48"/>
      <c r="L441" s="164"/>
      <c r="M441" s="48"/>
      <c r="N441" s="48"/>
      <c r="O441" s="48"/>
      <c r="P441" s="165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</row>
    <row r="442" ht="15.75" hidden="1" customHeight="1">
      <c r="A442" s="48"/>
      <c r="B442" s="48"/>
      <c r="C442" s="48"/>
      <c r="D442" s="48"/>
      <c r="E442" s="324"/>
      <c r="F442" s="325"/>
      <c r="G442" s="325"/>
      <c r="H442" s="48"/>
      <c r="I442" s="48"/>
      <c r="J442" s="84"/>
      <c r="K442" s="48"/>
      <c r="L442" s="164"/>
      <c r="M442" s="48"/>
      <c r="N442" s="48"/>
      <c r="O442" s="48"/>
      <c r="P442" s="165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</row>
    <row r="443" ht="15.75" hidden="1" customHeight="1">
      <c r="A443" s="48"/>
      <c r="B443" s="48"/>
      <c r="C443" s="48"/>
      <c r="D443" s="48"/>
      <c r="E443" s="324"/>
      <c r="F443" s="325"/>
      <c r="G443" s="325"/>
      <c r="H443" s="48"/>
      <c r="I443" s="48"/>
      <c r="J443" s="84"/>
      <c r="K443" s="48"/>
      <c r="L443" s="164"/>
      <c r="M443" s="48"/>
      <c r="N443" s="48"/>
      <c r="O443" s="48"/>
      <c r="P443" s="165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</row>
    <row r="444" ht="15.75" hidden="1" customHeight="1">
      <c r="A444" s="48"/>
      <c r="B444" s="48"/>
      <c r="C444" s="48"/>
      <c r="D444" s="48"/>
      <c r="E444" s="324"/>
      <c r="F444" s="325"/>
      <c r="G444" s="325"/>
      <c r="H444" s="48"/>
      <c r="I444" s="48"/>
      <c r="J444" s="84"/>
      <c r="K444" s="48"/>
      <c r="L444" s="164"/>
      <c r="M444" s="48"/>
      <c r="N444" s="48"/>
      <c r="O444" s="48"/>
      <c r="P444" s="165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</row>
    <row r="445" ht="15.75" hidden="1" customHeight="1">
      <c r="A445" s="48"/>
      <c r="B445" s="48"/>
      <c r="C445" s="48"/>
      <c r="D445" s="48"/>
      <c r="E445" s="324"/>
      <c r="F445" s="325"/>
      <c r="G445" s="325"/>
      <c r="H445" s="48"/>
      <c r="I445" s="48"/>
      <c r="J445" s="84"/>
      <c r="K445" s="48"/>
      <c r="L445" s="164"/>
      <c r="M445" s="48"/>
      <c r="N445" s="48"/>
      <c r="O445" s="48"/>
      <c r="P445" s="165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</row>
    <row r="446" ht="15.75" hidden="1" customHeight="1">
      <c r="A446" s="48"/>
      <c r="B446" s="48"/>
      <c r="C446" s="48"/>
      <c r="D446" s="48"/>
      <c r="E446" s="324"/>
      <c r="F446" s="325"/>
      <c r="G446" s="325"/>
      <c r="H446" s="48"/>
      <c r="I446" s="48"/>
      <c r="J446" s="84"/>
      <c r="K446" s="48"/>
      <c r="L446" s="164"/>
      <c r="M446" s="48"/>
      <c r="N446" s="48"/>
      <c r="O446" s="48"/>
      <c r="P446" s="165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</row>
    <row r="447" ht="15.75" hidden="1" customHeight="1">
      <c r="A447" s="48"/>
      <c r="B447" s="48"/>
      <c r="C447" s="48"/>
      <c r="D447" s="48"/>
      <c r="E447" s="324"/>
      <c r="F447" s="325"/>
      <c r="G447" s="325"/>
      <c r="H447" s="48"/>
      <c r="I447" s="48"/>
      <c r="J447" s="84"/>
      <c r="K447" s="48"/>
      <c r="L447" s="164"/>
      <c r="M447" s="48"/>
      <c r="N447" s="48"/>
      <c r="O447" s="48"/>
      <c r="P447" s="165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</row>
    <row r="448" ht="15.75" hidden="1" customHeight="1">
      <c r="A448" s="48"/>
      <c r="B448" s="48"/>
      <c r="C448" s="48"/>
      <c r="D448" s="48"/>
      <c r="E448" s="324"/>
      <c r="F448" s="325"/>
      <c r="G448" s="325"/>
      <c r="H448" s="48"/>
      <c r="I448" s="48"/>
      <c r="J448" s="84"/>
      <c r="K448" s="48"/>
      <c r="L448" s="164"/>
      <c r="M448" s="48"/>
      <c r="N448" s="48"/>
      <c r="O448" s="48"/>
      <c r="P448" s="165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</row>
    <row r="449" ht="15.75" hidden="1" customHeight="1">
      <c r="A449" s="48"/>
      <c r="B449" s="48"/>
      <c r="C449" s="48"/>
      <c r="D449" s="48"/>
      <c r="E449" s="324"/>
      <c r="F449" s="325"/>
      <c r="G449" s="325"/>
      <c r="H449" s="48"/>
      <c r="I449" s="48"/>
      <c r="J449" s="84"/>
      <c r="K449" s="48"/>
      <c r="L449" s="164"/>
      <c r="M449" s="48"/>
      <c r="N449" s="48"/>
      <c r="O449" s="48"/>
      <c r="P449" s="165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</row>
    <row r="450" ht="15.75" hidden="1" customHeight="1">
      <c r="A450" s="48"/>
      <c r="B450" s="48"/>
      <c r="C450" s="48"/>
      <c r="D450" s="48"/>
      <c r="E450" s="324"/>
      <c r="F450" s="325"/>
      <c r="G450" s="325"/>
      <c r="H450" s="48"/>
      <c r="I450" s="48"/>
      <c r="J450" s="84"/>
      <c r="K450" s="48"/>
      <c r="L450" s="164"/>
      <c r="M450" s="48"/>
      <c r="N450" s="48"/>
      <c r="O450" s="48"/>
      <c r="P450" s="165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</row>
    <row r="451" ht="15.75" hidden="1" customHeight="1">
      <c r="A451" s="48"/>
      <c r="B451" s="48"/>
      <c r="C451" s="48"/>
      <c r="D451" s="48"/>
      <c r="E451" s="324"/>
      <c r="F451" s="325"/>
      <c r="G451" s="325"/>
      <c r="H451" s="48"/>
      <c r="I451" s="48"/>
      <c r="J451" s="84"/>
      <c r="K451" s="48"/>
      <c r="L451" s="164"/>
      <c r="M451" s="48"/>
      <c r="N451" s="48"/>
      <c r="O451" s="48"/>
      <c r="P451" s="165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</row>
    <row r="452" ht="15.75" hidden="1" customHeight="1">
      <c r="A452" s="48"/>
      <c r="B452" s="48"/>
      <c r="C452" s="48"/>
      <c r="D452" s="48"/>
      <c r="E452" s="324"/>
      <c r="F452" s="325"/>
      <c r="G452" s="325"/>
      <c r="H452" s="48"/>
      <c r="I452" s="48"/>
      <c r="J452" s="84"/>
      <c r="K452" s="48"/>
      <c r="L452" s="164"/>
      <c r="M452" s="48"/>
      <c r="N452" s="48"/>
      <c r="O452" s="48"/>
      <c r="P452" s="165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</row>
    <row r="453" ht="15.75" hidden="1" customHeight="1">
      <c r="A453" s="48"/>
      <c r="B453" s="48"/>
      <c r="C453" s="48"/>
      <c r="D453" s="48"/>
      <c r="E453" s="324"/>
      <c r="F453" s="325"/>
      <c r="G453" s="325"/>
      <c r="H453" s="48"/>
      <c r="I453" s="48"/>
      <c r="J453" s="84"/>
      <c r="K453" s="48"/>
      <c r="L453" s="164"/>
      <c r="M453" s="48"/>
      <c r="N453" s="48"/>
      <c r="O453" s="48"/>
      <c r="P453" s="165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</row>
    <row r="454" ht="15.75" hidden="1" customHeight="1">
      <c r="A454" s="48"/>
      <c r="B454" s="48"/>
      <c r="C454" s="48"/>
      <c r="D454" s="48"/>
      <c r="E454" s="324"/>
      <c r="F454" s="325"/>
      <c r="G454" s="325"/>
      <c r="H454" s="48"/>
      <c r="I454" s="48"/>
      <c r="J454" s="84"/>
      <c r="K454" s="48"/>
      <c r="L454" s="164"/>
      <c r="M454" s="48"/>
      <c r="N454" s="48"/>
      <c r="O454" s="48"/>
      <c r="P454" s="165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</row>
    <row r="455" ht="15.75" hidden="1" customHeight="1">
      <c r="A455" s="48"/>
      <c r="B455" s="48"/>
      <c r="C455" s="48"/>
      <c r="D455" s="48"/>
      <c r="E455" s="324"/>
      <c r="F455" s="325"/>
      <c r="G455" s="325"/>
      <c r="H455" s="48"/>
      <c r="I455" s="48"/>
      <c r="J455" s="84"/>
      <c r="K455" s="48"/>
      <c r="L455" s="164"/>
      <c r="M455" s="48"/>
      <c r="N455" s="48"/>
      <c r="O455" s="48"/>
      <c r="P455" s="165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</row>
    <row r="456" ht="15.75" hidden="1" customHeight="1">
      <c r="A456" s="48"/>
      <c r="B456" s="48"/>
      <c r="C456" s="48"/>
      <c r="D456" s="48"/>
      <c r="E456" s="324"/>
      <c r="F456" s="325"/>
      <c r="G456" s="325"/>
      <c r="H456" s="48"/>
      <c r="I456" s="48"/>
      <c r="J456" s="84"/>
      <c r="K456" s="48"/>
      <c r="L456" s="164"/>
      <c r="M456" s="48"/>
      <c r="N456" s="48"/>
      <c r="O456" s="48"/>
      <c r="P456" s="165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</row>
    <row r="457" ht="15.75" hidden="1" customHeight="1">
      <c r="A457" s="48"/>
      <c r="B457" s="48"/>
      <c r="C457" s="48"/>
      <c r="D457" s="48"/>
      <c r="E457" s="324"/>
      <c r="F457" s="325"/>
      <c r="G457" s="325"/>
      <c r="H457" s="48"/>
      <c r="I457" s="48"/>
      <c r="J457" s="84"/>
      <c r="K457" s="48"/>
      <c r="L457" s="164"/>
      <c r="M457" s="48"/>
      <c r="N457" s="48"/>
      <c r="O457" s="48"/>
      <c r="P457" s="165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</row>
    <row r="458" ht="15.75" hidden="1" customHeight="1">
      <c r="A458" s="48"/>
      <c r="B458" s="48"/>
      <c r="C458" s="48"/>
      <c r="D458" s="48"/>
      <c r="E458" s="324"/>
      <c r="F458" s="325"/>
      <c r="G458" s="325"/>
      <c r="H458" s="48"/>
      <c r="I458" s="48"/>
      <c r="J458" s="84"/>
      <c r="K458" s="48"/>
      <c r="L458" s="164"/>
      <c r="M458" s="48"/>
      <c r="N458" s="48"/>
      <c r="O458" s="48"/>
      <c r="P458" s="165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</row>
    <row r="459" ht="15.75" hidden="1" customHeight="1">
      <c r="A459" s="48"/>
      <c r="B459" s="48"/>
      <c r="C459" s="48"/>
      <c r="D459" s="48"/>
      <c r="E459" s="324"/>
      <c r="F459" s="325"/>
      <c r="G459" s="325"/>
      <c r="H459" s="48"/>
      <c r="I459" s="48"/>
      <c r="J459" s="84"/>
      <c r="K459" s="48"/>
      <c r="L459" s="164"/>
      <c r="M459" s="48"/>
      <c r="N459" s="48"/>
      <c r="O459" s="48"/>
      <c r="P459" s="165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</row>
    <row r="460" ht="15.75" hidden="1" customHeight="1">
      <c r="A460" s="48"/>
      <c r="B460" s="48"/>
      <c r="C460" s="48"/>
      <c r="D460" s="48"/>
      <c r="E460" s="324"/>
      <c r="F460" s="325"/>
      <c r="G460" s="325"/>
      <c r="H460" s="48"/>
      <c r="I460" s="48"/>
      <c r="J460" s="84"/>
      <c r="K460" s="48"/>
      <c r="L460" s="164"/>
      <c r="M460" s="48"/>
      <c r="N460" s="48"/>
      <c r="O460" s="48"/>
      <c r="P460" s="165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</row>
    <row r="461" ht="15.75" hidden="1" customHeight="1">
      <c r="A461" s="48"/>
      <c r="B461" s="48"/>
      <c r="C461" s="48"/>
      <c r="D461" s="48"/>
      <c r="E461" s="324"/>
      <c r="F461" s="325"/>
      <c r="G461" s="325"/>
      <c r="H461" s="48"/>
      <c r="I461" s="48"/>
      <c r="J461" s="84"/>
      <c r="K461" s="48"/>
      <c r="L461" s="164"/>
      <c r="M461" s="48"/>
      <c r="N461" s="48"/>
      <c r="O461" s="48"/>
      <c r="P461" s="165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</row>
    <row r="462" ht="15.75" hidden="1" customHeight="1">
      <c r="A462" s="48"/>
      <c r="B462" s="48"/>
      <c r="C462" s="48"/>
      <c r="D462" s="48"/>
      <c r="E462" s="324"/>
      <c r="F462" s="325"/>
      <c r="G462" s="325"/>
      <c r="H462" s="48"/>
      <c r="I462" s="48"/>
      <c r="J462" s="84"/>
      <c r="K462" s="48"/>
      <c r="L462" s="164"/>
      <c r="M462" s="48"/>
      <c r="N462" s="48"/>
      <c r="O462" s="48"/>
      <c r="P462" s="165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</row>
    <row r="463" ht="15.75" hidden="1" customHeight="1">
      <c r="A463" s="48"/>
      <c r="B463" s="48"/>
      <c r="C463" s="48"/>
      <c r="D463" s="48"/>
      <c r="E463" s="324"/>
      <c r="F463" s="325"/>
      <c r="G463" s="325"/>
      <c r="H463" s="48"/>
      <c r="I463" s="48"/>
      <c r="J463" s="84"/>
      <c r="K463" s="48"/>
      <c r="L463" s="164"/>
      <c r="M463" s="48"/>
      <c r="N463" s="48"/>
      <c r="O463" s="48"/>
      <c r="P463" s="165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</row>
    <row r="464" ht="15.75" hidden="1" customHeight="1">
      <c r="A464" s="48"/>
      <c r="B464" s="48"/>
      <c r="C464" s="48"/>
      <c r="D464" s="48"/>
      <c r="E464" s="324"/>
      <c r="F464" s="325"/>
      <c r="G464" s="325"/>
      <c r="H464" s="48"/>
      <c r="I464" s="48"/>
      <c r="J464" s="84"/>
      <c r="K464" s="48"/>
      <c r="L464" s="164"/>
      <c r="M464" s="48"/>
      <c r="N464" s="48"/>
      <c r="O464" s="48"/>
      <c r="P464" s="165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</row>
    <row r="465" ht="15.75" hidden="1" customHeight="1">
      <c r="A465" s="48"/>
      <c r="B465" s="48"/>
      <c r="C465" s="48"/>
      <c r="D465" s="48"/>
      <c r="E465" s="324"/>
      <c r="F465" s="325"/>
      <c r="G465" s="325"/>
      <c r="H465" s="48"/>
      <c r="I465" s="48"/>
      <c r="J465" s="84"/>
      <c r="K465" s="48"/>
      <c r="L465" s="164"/>
      <c r="M465" s="48"/>
      <c r="N465" s="48"/>
      <c r="O465" s="48"/>
      <c r="P465" s="165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</row>
    <row r="466" ht="15.75" hidden="1" customHeight="1">
      <c r="A466" s="48"/>
      <c r="B466" s="48"/>
      <c r="C466" s="48"/>
      <c r="D466" s="48"/>
      <c r="E466" s="324"/>
      <c r="F466" s="325"/>
      <c r="G466" s="325"/>
      <c r="H466" s="48"/>
      <c r="I466" s="48"/>
      <c r="J466" s="84"/>
      <c r="K466" s="48"/>
      <c r="L466" s="164"/>
      <c r="M466" s="48"/>
      <c r="N466" s="48"/>
      <c r="O466" s="48"/>
      <c r="P466" s="165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</row>
    <row r="467" ht="15.75" hidden="1" customHeight="1">
      <c r="A467" s="48"/>
      <c r="B467" s="48"/>
      <c r="C467" s="48"/>
      <c r="D467" s="48"/>
      <c r="E467" s="324"/>
      <c r="F467" s="325"/>
      <c r="G467" s="325"/>
      <c r="H467" s="48"/>
      <c r="I467" s="48"/>
      <c r="J467" s="84"/>
      <c r="K467" s="48"/>
      <c r="L467" s="164"/>
      <c r="M467" s="48"/>
      <c r="N467" s="48"/>
      <c r="O467" s="48"/>
      <c r="P467" s="165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</row>
    <row r="468" ht="15.75" hidden="1" customHeight="1">
      <c r="A468" s="48"/>
      <c r="B468" s="48"/>
      <c r="C468" s="48"/>
      <c r="D468" s="48"/>
      <c r="E468" s="324"/>
      <c r="F468" s="325"/>
      <c r="G468" s="325"/>
      <c r="H468" s="48"/>
      <c r="I468" s="48"/>
      <c r="J468" s="84"/>
      <c r="K468" s="48"/>
      <c r="L468" s="164"/>
      <c r="M468" s="48"/>
      <c r="N468" s="48"/>
      <c r="O468" s="48"/>
      <c r="P468" s="165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</row>
    <row r="469" ht="15.75" hidden="1" customHeight="1">
      <c r="A469" s="48"/>
      <c r="B469" s="48"/>
      <c r="C469" s="48"/>
      <c r="D469" s="48"/>
      <c r="E469" s="324"/>
      <c r="F469" s="325"/>
      <c r="G469" s="325"/>
      <c r="H469" s="48"/>
      <c r="I469" s="48"/>
      <c r="J469" s="84"/>
      <c r="K469" s="48"/>
      <c r="L469" s="164"/>
      <c r="M469" s="48"/>
      <c r="N469" s="48"/>
      <c r="O469" s="48"/>
      <c r="P469" s="165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</row>
    <row r="470" ht="15.75" hidden="1" customHeight="1">
      <c r="A470" s="48"/>
      <c r="B470" s="48"/>
      <c r="C470" s="48"/>
      <c r="D470" s="48"/>
      <c r="E470" s="324"/>
      <c r="F470" s="325"/>
      <c r="G470" s="325"/>
      <c r="H470" s="48"/>
      <c r="I470" s="48"/>
      <c r="J470" s="84"/>
      <c r="K470" s="48"/>
      <c r="L470" s="164"/>
      <c r="M470" s="48"/>
      <c r="N470" s="48"/>
      <c r="O470" s="48"/>
      <c r="P470" s="165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</row>
    <row r="471" ht="15.75" hidden="1" customHeight="1">
      <c r="A471" s="48"/>
      <c r="B471" s="48"/>
      <c r="C471" s="48"/>
      <c r="D471" s="48"/>
      <c r="E471" s="324"/>
      <c r="F471" s="325"/>
      <c r="G471" s="325"/>
      <c r="H471" s="48"/>
      <c r="I471" s="48"/>
      <c r="J471" s="84"/>
      <c r="K471" s="48"/>
      <c r="L471" s="164"/>
      <c r="M471" s="48"/>
      <c r="N471" s="48"/>
      <c r="O471" s="48"/>
      <c r="P471" s="165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</row>
    <row r="472" ht="15.75" hidden="1" customHeight="1">
      <c r="A472" s="48"/>
      <c r="B472" s="48"/>
      <c r="C472" s="48"/>
      <c r="D472" s="48"/>
      <c r="E472" s="324"/>
      <c r="F472" s="325"/>
      <c r="G472" s="325"/>
      <c r="H472" s="48"/>
      <c r="I472" s="48"/>
      <c r="J472" s="84"/>
      <c r="K472" s="48"/>
      <c r="L472" s="164"/>
      <c r="M472" s="48"/>
      <c r="N472" s="48"/>
      <c r="O472" s="48"/>
      <c r="P472" s="165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</row>
    <row r="473" ht="15.75" hidden="1" customHeight="1">
      <c r="A473" s="48"/>
      <c r="B473" s="48"/>
      <c r="C473" s="48"/>
      <c r="D473" s="48"/>
      <c r="E473" s="324"/>
      <c r="F473" s="325"/>
      <c r="G473" s="325"/>
      <c r="H473" s="48"/>
      <c r="I473" s="48"/>
      <c r="J473" s="84"/>
      <c r="K473" s="48"/>
      <c r="L473" s="164"/>
      <c r="M473" s="48"/>
      <c r="N473" s="48"/>
      <c r="O473" s="48"/>
      <c r="P473" s="165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</row>
    <row r="474" ht="15.75" hidden="1" customHeight="1">
      <c r="A474" s="48"/>
      <c r="B474" s="48"/>
      <c r="C474" s="48"/>
      <c r="D474" s="48"/>
      <c r="E474" s="324"/>
      <c r="F474" s="325"/>
      <c r="G474" s="325"/>
      <c r="H474" s="48"/>
      <c r="I474" s="48"/>
      <c r="J474" s="84"/>
      <c r="K474" s="48"/>
      <c r="L474" s="164"/>
      <c r="M474" s="48"/>
      <c r="N474" s="48"/>
      <c r="O474" s="48"/>
      <c r="P474" s="165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</row>
    <row r="475" ht="15.75" hidden="1" customHeight="1">
      <c r="A475" s="48"/>
      <c r="B475" s="48"/>
      <c r="C475" s="48"/>
      <c r="D475" s="48"/>
      <c r="E475" s="324"/>
      <c r="F475" s="325"/>
      <c r="G475" s="325"/>
      <c r="H475" s="48"/>
      <c r="I475" s="48"/>
      <c r="J475" s="84"/>
      <c r="K475" s="48"/>
      <c r="L475" s="164"/>
      <c r="M475" s="48"/>
      <c r="N475" s="48"/>
      <c r="O475" s="48"/>
      <c r="P475" s="165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</row>
    <row r="476" ht="15.75" hidden="1" customHeight="1">
      <c r="A476" s="48"/>
      <c r="B476" s="48"/>
      <c r="C476" s="48"/>
      <c r="D476" s="48"/>
      <c r="E476" s="324"/>
      <c r="F476" s="325"/>
      <c r="G476" s="325"/>
      <c r="H476" s="48"/>
      <c r="I476" s="48"/>
      <c r="J476" s="84"/>
      <c r="K476" s="48"/>
      <c r="L476" s="164"/>
      <c r="M476" s="48"/>
      <c r="N476" s="48"/>
      <c r="O476" s="48"/>
      <c r="P476" s="165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</row>
    <row r="477" ht="15.75" hidden="1" customHeight="1">
      <c r="A477" s="48"/>
      <c r="B477" s="48"/>
      <c r="C477" s="48"/>
      <c r="D477" s="48"/>
      <c r="E477" s="324"/>
      <c r="F477" s="325"/>
      <c r="G477" s="325"/>
      <c r="H477" s="48"/>
      <c r="I477" s="48"/>
      <c r="J477" s="84"/>
      <c r="K477" s="48"/>
      <c r="L477" s="164"/>
      <c r="M477" s="48"/>
      <c r="N477" s="48"/>
      <c r="O477" s="48"/>
      <c r="P477" s="165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</row>
    <row r="478" ht="15.75" hidden="1" customHeight="1">
      <c r="A478" s="48"/>
      <c r="B478" s="48"/>
      <c r="C478" s="48"/>
      <c r="D478" s="48"/>
      <c r="E478" s="324"/>
      <c r="F478" s="325"/>
      <c r="G478" s="325"/>
      <c r="H478" s="48"/>
      <c r="I478" s="48"/>
      <c r="J478" s="84"/>
      <c r="K478" s="48"/>
      <c r="L478" s="164"/>
      <c r="M478" s="48"/>
      <c r="N478" s="48"/>
      <c r="O478" s="48"/>
      <c r="P478" s="165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</row>
    <row r="479" ht="15.75" hidden="1" customHeight="1">
      <c r="A479" s="48"/>
      <c r="B479" s="48"/>
      <c r="C479" s="48"/>
      <c r="D479" s="48"/>
      <c r="E479" s="324"/>
      <c r="F479" s="325"/>
      <c r="G479" s="325"/>
      <c r="H479" s="48"/>
      <c r="I479" s="48"/>
      <c r="J479" s="84"/>
      <c r="K479" s="48"/>
      <c r="L479" s="164"/>
      <c r="M479" s="48"/>
      <c r="N479" s="48"/>
      <c r="O479" s="48"/>
      <c r="P479" s="165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</row>
    <row r="480" ht="15.75" hidden="1" customHeight="1">
      <c r="A480" s="48"/>
      <c r="B480" s="48"/>
      <c r="C480" s="48"/>
      <c r="D480" s="48"/>
      <c r="E480" s="324"/>
      <c r="F480" s="325"/>
      <c r="G480" s="325"/>
      <c r="H480" s="48"/>
      <c r="I480" s="48"/>
      <c r="J480" s="84"/>
      <c r="K480" s="48"/>
      <c r="L480" s="164"/>
      <c r="M480" s="48"/>
      <c r="N480" s="48"/>
      <c r="O480" s="48"/>
      <c r="P480" s="165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</row>
    <row r="481" ht="15.75" hidden="1" customHeight="1">
      <c r="A481" s="48"/>
      <c r="B481" s="48"/>
      <c r="C481" s="48"/>
      <c r="D481" s="48"/>
      <c r="E481" s="324"/>
      <c r="F481" s="325"/>
      <c r="G481" s="325"/>
      <c r="H481" s="48"/>
      <c r="I481" s="48"/>
      <c r="J481" s="84"/>
      <c r="K481" s="48"/>
      <c r="L481" s="164"/>
      <c r="M481" s="48"/>
      <c r="N481" s="48"/>
      <c r="O481" s="48"/>
      <c r="P481" s="165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</row>
    <row r="482" ht="15.75" hidden="1" customHeight="1">
      <c r="A482" s="48"/>
      <c r="B482" s="48"/>
      <c r="C482" s="48"/>
      <c r="D482" s="48"/>
      <c r="E482" s="324"/>
      <c r="F482" s="325"/>
      <c r="G482" s="325"/>
      <c r="H482" s="48"/>
      <c r="I482" s="48"/>
      <c r="J482" s="84"/>
      <c r="K482" s="48"/>
      <c r="L482" s="164"/>
      <c r="M482" s="48"/>
      <c r="N482" s="48"/>
      <c r="O482" s="48"/>
      <c r="P482" s="165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</row>
    <row r="483" ht="15.75" hidden="1" customHeight="1">
      <c r="A483" s="48"/>
      <c r="B483" s="48"/>
      <c r="C483" s="48"/>
      <c r="D483" s="48"/>
      <c r="E483" s="324"/>
      <c r="F483" s="325"/>
      <c r="G483" s="325"/>
      <c r="H483" s="48"/>
      <c r="I483" s="48"/>
      <c r="J483" s="84"/>
      <c r="K483" s="48"/>
      <c r="L483" s="164"/>
      <c r="M483" s="48"/>
      <c r="N483" s="48"/>
      <c r="O483" s="48"/>
      <c r="P483" s="165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</row>
    <row r="484" ht="15.75" hidden="1" customHeight="1">
      <c r="A484" s="48"/>
      <c r="B484" s="48"/>
      <c r="C484" s="48"/>
      <c r="D484" s="48"/>
      <c r="E484" s="324"/>
      <c r="F484" s="325"/>
      <c r="G484" s="325"/>
      <c r="H484" s="48"/>
      <c r="I484" s="48"/>
      <c r="J484" s="84"/>
      <c r="K484" s="48"/>
      <c r="L484" s="164"/>
      <c r="M484" s="48"/>
      <c r="N484" s="48"/>
      <c r="O484" s="48"/>
      <c r="P484" s="165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</row>
    <row r="485" ht="15.75" hidden="1" customHeight="1">
      <c r="A485" s="48"/>
      <c r="B485" s="48"/>
      <c r="C485" s="48"/>
      <c r="D485" s="48"/>
      <c r="E485" s="324"/>
      <c r="F485" s="325"/>
      <c r="G485" s="325"/>
      <c r="H485" s="48"/>
      <c r="I485" s="48"/>
      <c r="J485" s="84"/>
      <c r="K485" s="48"/>
      <c r="L485" s="164"/>
      <c r="M485" s="48"/>
      <c r="N485" s="48"/>
      <c r="O485" s="48"/>
      <c r="P485" s="165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</row>
    <row r="486" ht="15.75" hidden="1" customHeight="1">
      <c r="A486" s="48"/>
      <c r="B486" s="48"/>
      <c r="C486" s="48"/>
      <c r="D486" s="48"/>
      <c r="E486" s="324"/>
      <c r="F486" s="325"/>
      <c r="G486" s="325"/>
      <c r="H486" s="48"/>
      <c r="I486" s="48"/>
      <c r="J486" s="84"/>
      <c r="K486" s="48"/>
      <c r="L486" s="164"/>
      <c r="M486" s="48"/>
      <c r="N486" s="48"/>
      <c r="O486" s="48"/>
      <c r="P486" s="165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</row>
    <row r="487" ht="15.75" hidden="1" customHeight="1">
      <c r="A487" s="48"/>
      <c r="B487" s="48"/>
      <c r="C487" s="48"/>
      <c r="D487" s="48"/>
      <c r="E487" s="324"/>
      <c r="F487" s="325"/>
      <c r="G487" s="325"/>
      <c r="H487" s="48"/>
      <c r="I487" s="48"/>
      <c r="J487" s="84"/>
      <c r="K487" s="48"/>
      <c r="L487" s="164"/>
      <c r="M487" s="48"/>
      <c r="N487" s="48"/>
      <c r="O487" s="48"/>
      <c r="P487" s="165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</row>
    <row r="488" ht="15.75" hidden="1" customHeight="1">
      <c r="A488" s="48"/>
      <c r="B488" s="48"/>
      <c r="C488" s="48"/>
      <c r="D488" s="48"/>
      <c r="E488" s="324"/>
      <c r="F488" s="325"/>
      <c r="G488" s="325"/>
      <c r="H488" s="48"/>
      <c r="I488" s="48"/>
      <c r="J488" s="84"/>
      <c r="K488" s="48"/>
      <c r="L488" s="164"/>
      <c r="M488" s="48"/>
      <c r="N488" s="48"/>
      <c r="O488" s="48"/>
      <c r="P488" s="165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</row>
    <row r="489" ht="15.75" hidden="1" customHeight="1">
      <c r="A489" s="48"/>
      <c r="B489" s="48"/>
      <c r="C489" s="48"/>
      <c r="D489" s="48"/>
      <c r="E489" s="324"/>
      <c r="F489" s="325"/>
      <c r="G489" s="325"/>
      <c r="H489" s="48"/>
      <c r="I489" s="48"/>
      <c r="J489" s="84"/>
      <c r="K489" s="48"/>
      <c r="L489" s="164"/>
      <c r="M489" s="48"/>
      <c r="N489" s="48"/>
      <c r="O489" s="48"/>
      <c r="P489" s="165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</row>
    <row r="490" ht="15.75" hidden="1" customHeight="1">
      <c r="A490" s="48"/>
      <c r="B490" s="48"/>
      <c r="C490" s="48"/>
      <c r="D490" s="48"/>
      <c r="E490" s="324"/>
      <c r="F490" s="325"/>
      <c r="G490" s="325"/>
      <c r="H490" s="48"/>
      <c r="I490" s="48"/>
      <c r="J490" s="84"/>
      <c r="K490" s="48"/>
      <c r="L490" s="164"/>
      <c r="M490" s="48"/>
      <c r="N490" s="48"/>
      <c r="O490" s="48"/>
      <c r="P490" s="165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</row>
    <row r="491" ht="15.75" hidden="1" customHeight="1">
      <c r="A491" s="48"/>
      <c r="B491" s="48"/>
      <c r="C491" s="48"/>
      <c r="D491" s="48"/>
      <c r="E491" s="324"/>
      <c r="F491" s="325"/>
      <c r="G491" s="325"/>
      <c r="H491" s="48"/>
      <c r="I491" s="48"/>
      <c r="J491" s="84"/>
      <c r="K491" s="48"/>
      <c r="L491" s="164"/>
      <c r="M491" s="48"/>
      <c r="N491" s="48"/>
      <c r="O491" s="48"/>
      <c r="P491" s="165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</row>
    <row r="492" ht="15.75" hidden="1" customHeight="1">
      <c r="A492" s="48"/>
      <c r="B492" s="48"/>
      <c r="C492" s="48"/>
      <c r="D492" s="48"/>
      <c r="E492" s="324"/>
      <c r="F492" s="325"/>
      <c r="G492" s="325"/>
      <c r="H492" s="48"/>
      <c r="I492" s="48"/>
      <c r="J492" s="84"/>
      <c r="K492" s="48"/>
      <c r="L492" s="164"/>
      <c r="M492" s="48"/>
      <c r="N492" s="48"/>
      <c r="O492" s="48"/>
      <c r="P492" s="165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</row>
    <row r="493" ht="15.75" hidden="1" customHeight="1">
      <c r="A493" s="48"/>
      <c r="B493" s="48"/>
      <c r="C493" s="48"/>
      <c r="D493" s="48"/>
      <c r="E493" s="324"/>
      <c r="F493" s="325"/>
      <c r="G493" s="325"/>
      <c r="H493" s="48"/>
      <c r="I493" s="48"/>
      <c r="J493" s="84"/>
      <c r="K493" s="48"/>
      <c r="L493" s="164"/>
      <c r="M493" s="48"/>
      <c r="N493" s="48"/>
      <c r="O493" s="48"/>
      <c r="P493" s="165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</row>
    <row r="494" ht="15.75" hidden="1" customHeight="1">
      <c r="A494" s="48"/>
      <c r="B494" s="48"/>
      <c r="C494" s="48"/>
      <c r="D494" s="48"/>
      <c r="E494" s="324"/>
      <c r="F494" s="325"/>
      <c r="G494" s="325"/>
      <c r="H494" s="48"/>
      <c r="I494" s="48"/>
      <c r="J494" s="84"/>
      <c r="K494" s="48"/>
      <c r="L494" s="164"/>
      <c r="M494" s="48"/>
      <c r="N494" s="48"/>
      <c r="O494" s="48"/>
      <c r="P494" s="165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</row>
    <row r="495" ht="15.75" hidden="1" customHeight="1">
      <c r="A495" s="48"/>
      <c r="B495" s="48"/>
      <c r="C495" s="48"/>
      <c r="D495" s="48"/>
      <c r="E495" s="324"/>
      <c r="F495" s="325"/>
      <c r="G495" s="325"/>
      <c r="H495" s="48"/>
      <c r="I495" s="48"/>
      <c r="J495" s="84"/>
      <c r="K495" s="48"/>
      <c r="L495" s="164"/>
      <c r="M495" s="48"/>
      <c r="N495" s="48"/>
      <c r="O495" s="48"/>
      <c r="P495" s="165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</row>
    <row r="496" ht="15.75" hidden="1" customHeight="1">
      <c r="A496" s="48"/>
      <c r="B496" s="48"/>
      <c r="C496" s="48"/>
      <c r="D496" s="48"/>
      <c r="E496" s="324"/>
      <c r="F496" s="325"/>
      <c r="G496" s="325"/>
      <c r="H496" s="48"/>
      <c r="I496" s="48"/>
      <c r="J496" s="84"/>
      <c r="K496" s="48"/>
      <c r="L496" s="164"/>
      <c r="M496" s="48"/>
      <c r="N496" s="48"/>
      <c r="O496" s="48"/>
      <c r="P496" s="165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</row>
    <row r="497" ht="15.75" hidden="1" customHeight="1">
      <c r="A497" s="48"/>
      <c r="B497" s="48"/>
      <c r="C497" s="48"/>
      <c r="D497" s="48"/>
      <c r="E497" s="324"/>
      <c r="F497" s="325"/>
      <c r="G497" s="325"/>
      <c r="H497" s="48"/>
      <c r="I497" s="48"/>
      <c r="J497" s="84"/>
      <c r="K497" s="48"/>
      <c r="L497" s="164"/>
      <c r="M497" s="48"/>
      <c r="N497" s="48"/>
      <c r="O497" s="48"/>
      <c r="P497" s="165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</row>
    <row r="498" ht="15.75" hidden="1" customHeight="1">
      <c r="A498" s="48"/>
      <c r="B498" s="48"/>
      <c r="C498" s="48"/>
      <c r="D498" s="48"/>
      <c r="E498" s="324"/>
      <c r="F498" s="325"/>
      <c r="G498" s="325"/>
      <c r="H498" s="48"/>
      <c r="I498" s="48"/>
      <c r="J498" s="84"/>
      <c r="K498" s="48"/>
      <c r="L498" s="164"/>
      <c r="M498" s="48"/>
      <c r="N498" s="48"/>
      <c r="O498" s="48"/>
      <c r="P498" s="165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</row>
    <row r="499" ht="15.75" hidden="1" customHeight="1">
      <c r="A499" s="48"/>
      <c r="B499" s="48"/>
      <c r="C499" s="48"/>
      <c r="D499" s="48"/>
      <c r="E499" s="324"/>
      <c r="F499" s="325"/>
      <c r="G499" s="325"/>
      <c r="H499" s="48"/>
      <c r="I499" s="48"/>
      <c r="J499" s="84"/>
      <c r="K499" s="48"/>
      <c r="L499" s="164"/>
      <c r="M499" s="48"/>
      <c r="N499" s="48"/>
      <c r="O499" s="48"/>
      <c r="P499" s="165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</row>
    <row r="500" ht="15.75" hidden="1" customHeight="1">
      <c r="A500" s="48"/>
      <c r="B500" s="48"/>
      <c r="C500" s="48"/>
      <c r="D500" s="48"/>
      <c r="E500" s="324"/>
      <c r="F500" s="325"/>
      <c r="G500" s="325"/>
      <c r="H500" s="48"/>
      <c r="I500" s="48"/>
      <c r="J500" s="84"/>
      <c r="K500" s="48"/>
      <c r="L500" s="164"/>
      <c r="M500" s="48"/>
      <c r="N500" s="48"/>
      <c r="O500" s="48"/>
      <c r="P500" s="165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</row>
    <row r="501" ht="15.75" hidden="1" customHeight="1">
      <c r="A501" s="48"/>
      <c r="B501" s="48"/>
      <c r="C501" s="48"/>
      <c r="D501" s="48"/>
      <c r="E501" s="324"/>
      <c r="F501" s="325"/>
      <c r="G501" s="325"/>
      <c r="H501" s="48"/>
      <c r="I501" s="48"/>
      <c r="J501" s="84"/>
      <c r="K501" s="48"/>
      <c r="L501" s="164"/>
      <c r="M501" s="48"/>
      <c r="N501" s="48"/>
      <c r="O501" s="48"/>
      <c r="P501" s="165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</row>
    <row r="502" ht="15.75" hidden="1" customHeight="1">
      <c r="A502" s="48"/>
      <c r="B502" s="48"/>
      <c r="C502" s="48"/>
      <c r="D502" s="48"/>
      <c r="E502" s="324"/>
      <c r="F502" s="325"/>
      <c r="G502" s="325"/>
      <c r="H502" s="48"/>
      <c r="I502" s="48"/>
      <c r="J502" s="84"/>
      <c r="K502" s="48"/>
      <c r="L502" s="164"/>
      <c r="M502" s="48"/>
      <c r="N502" s="48"/>
      <c r="O502" s="48"/>
      <c r="P502" s="165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</row>
    <row r="503" ht="15.75" hidden="1" customHeight="1">
      <c r="A503" s="48"/>
      <c r="B503" s="48"/>
      <c r="C503" s="48"/>
      <c r="D503" s="48"/>
      <c r="E503" s="324"/>
      <c r="F503" s="325"/>
      <c r="G503" s="325"/>
      <c r="H503" s="48"/>
      <c r="I503" s="48"/>
      <c r="J503" s="84"/>
      <c r="K503" s="48"/>
      <c r="L503" s="164"/>
      <c r="M503" s="48"/>
      <c r="N503" s="48"/>
      <c r="O503" s="48"/>
      <c r="P503" s="165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</row>
    <row r="504" ht="15.75" hidden="1" customHeight="1">
      <c r="A504" s="48"/>
      <c r="B504" s="48"/>
      <c r="C504" s="48"/>
      <c r="D504" s="48"/>
      <c r="E504" s="324"/>
      <c r="F504" s="325"/>
      <c r="G504" s="325"/>
      <c r="H504" s="48"/>
      <c r="I504" s="48"/>
      <c r="J504" s="84"/>
      <c r="K504" s="48"/>
      <c r="L504" s="164"/>
      <c r="M504" s="48"/>
      <c r="N504" s="48"/>
      <c r="O504" s="48"/>
      <c r="P504" s="165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</row>
    <row r="505" ht="15.75" hidden="1" customHeight="1">
      <c r="A505" s="48"/>
      <c r="B505" s="48"/>
      <c r="C505" s="48"/>
      <c r="D505" s="48"/>
      <c r="E505" s="324"/>
      <c r="F505" s="325"/>
      <c r="G505" s="325"/>
      <c r="H505" s="48"/>
      <c r="I505" s="48"/>
      <c r="J505" s="84"/>
      <c r="K505" s="48"/>
      <c r="L505" s="164"/>
      <c r="M505" s="48"/>
      <c r="N505" s="48"/>
      <c r="O505" s="48"/>
      <c r="P505" s="165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</row>
    <row r="506" ht="15.75" hidden="1" customHeight="1">
      <c r="A506" s="48"/>
      <c r="B506" s="48"/>
      <c r="C506" s="48"/>
      <c r="D506" s="48"/>
      <c r="E506" s="324"/>
      <c r="F506" s="325"/>
      <c r="G506" s="325"/>
      <c r="H506" s="48"/>
      <c r="I506" s="48"/>
      <c r="J506" s="84"/>
      <c r="K506" s="48"/>
      <c r="L506" s="164"/>
      <c r="M506" s="48"/>
      <c r="N506" s="48"/>
      <c r="O506" s="48"/>
      <c r="P506" s="165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</row>
    <row r="507" ht="15.75" hidden="1" customHeight="1">
      <c r="A507" s="48"/>
      <c r="B507" s="48"/>
      <c r="C507" s="48"/>
      <c r="D507" s="48"/>
      <c r="E507" s="324"/>
      <c r="F507" s="325"/>
      <c r="G507" s="325"/>
      <c r="H507" s="48"/>
      <c r="I507" s="48"/>
      <c r="J507" s="84"/>
      <c r="K507" s="48"/>
      <c r="L507" s="164"/>
      <c r="M507" s="48"/>
      <c r="N507" s="48"/>
      <c r="O507" s="48"/>
      <c r="P507" s="165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</row>
    <row r="508" ht="15.75" hidden="1" customHeight="1">
      <c r="A508" s="48"/>
      <c r="B508" s="48"/>
      <c r="C508" s="48"/>
      <c r="D508" s="48"/>
      <c r="E508" s="324"/>
      <c r="F508" s="325"/>
      <c r="G508" s="325"/>
      <c r="H508" s="48"/>
      <c r="I508" s="48"/>
      <c r="J508" s="84"/>
      <c r="K508" s="48"/>
      <c r="L508" s="164"/>
      <c r="M508" s="48"/>
      <c r="N508" s="48"/>
      <c r="O508" s="48"/>
      <c r="P508" s="165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</row>
    <row r="509" ht="15.75" hidden="1" customHeight="1">
      <c r="A509" s="48"/>
      <c r="B509" s="48"/>
      <c r="C509" s="48"/>
      <c r="D509" s="48"/>
      <c r="E509" s="324"/>
      <c r="F509" s="325"/>
      <c r="G509" s="325"/>
      <c r="H509" s="48"/>
      <c r="I509" s="48"/>
      <c r="J509" s="84"/>
      <c r="K509" s="48"/>
      <c r="L509" s="164"/>
      <c r="M509" s="48"/>
      <c r="N509" s="48"/>
      <c r="O509" s="48"/>
      <c r="P509" s="165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</row>
    <row r="510" ht="15.75" hidden="1" customHeight="1">
      <c r="A510" s="48"/>
      <c r="B510" s="48"/>
      <c r="C510" s="48"/>
      <c r="D510" s="48"/>
      <c r="E510" s="324"/>
      <c r="F510" s="325"/>
      <c r="G510" s="325"/>
      <c r="H510" s="48"/>
      <c r="I510" s="48"/>
      <c r="J510" s="84"/>
      <c r="K510" s="48"/>
      <c r="L510" s="164"/>
      <c r="M510" s="48"/>
      <c r="N510" s="48"/>
      <c r="O510" s="48"/>
      <c r="P510" s="165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</row>
    <row r="511" ht="15.75" hidden="1" customHeight="1">
      <c r="A511" s="48"/>
      <c r="B511" s="48"/>
      <c r="C511" s="48"/>
      <c r="D511" s="48"/>
      <c r="E511" s="324"/>
      <c r="F511" s="325"/>
      <c r="G511" s="325"/>
      <c r="H511" s="48"/>
      <c r="I511" s="48"/>
      <c r="J511" s="84"/>
      <c r="K511" s="48"/>
      <c r="L511" s="164"/>
      <c r="M511" s="48"/>
      <c r="N511" s="48"/>
      <c r="O511" s="48"/>
      <c r="P511" s="165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</row>
    <row r="512" ht="15.75" hidden="1" customHeight="1">
      <c r="A512" s="48"/>
      <c r="B512" s="48"/>
      <c r="C512" s="48"/>
      <c r="D512" s="48"/>
      <c r="E512" s="324"/>
      <c r="F512" s="325"/>
      <c r="G512" s="325"/>
      <c r="H512" s="48"/>
      <c r="I512" s="48"/>
      <c r="J512" s="84"/>
      <c r="K512" s="48"/>
      <c r="L512" s="164"/>
      <c r="M512" s="48"/>
      <c r="N512" s="48"/>
      <c r="O512" s="48"/>
      <c r="P512" s="165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</row>
    <row r="513" ht="15.75" hidden="1" customHeight="1">
      <c r="A513" s="48"/>
      <c r="B513" s="48"/>
      <c r="C513" s="48"/>
      <c r="D513" s="48"/>
      <c r="E513" s="324"/>
      <c r="F513" s="325"/>
      <c r="G513" s="325"/>
      <c r="H513" s="48"/>
      <c r="I513" s="48"/>
      <c r="J513" s="84"/>
      <c r="K513" s="48"/>
      <c r="L513" s="164"/>
      <c r="M513" s="48"/>
      <c r="N513" s="48"/>
      <c r="O513" s="48"/>
      <c r="P513" s="165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</row>
    <row r="514" ht="15.75" hidden="1" customHeight="1">
      <c r="A514" s="48"/>
      <c r="B514" s="48"/>
      <c r="C514" s="48"/>
      <c r="D514" s="48"/>
      <c r="E514" s="324"/>
      <c r="F514" s="325"/>
      <c r="G514" s="325"/>
      <c r="H514" s="48"/>
      <c r="I514" s="48"/>
      <c r="J514" s="84"/>
      <c r="K514" s="48"/>
      <c r="L514" s="164"/>
      <c r="M514" s="48"/>
      <c r="N514" s="48"/>
      <c r="O514" s="48"/>
      <c r="P514" s="165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</row>
    <row r="515" ht="15.75" hidden="1" customHeight="1">
      <c r="A515" s="48"/>
      <c r="B515" s="48"/>
      <c r="C515" s="48"/>
      <c r="D515" s="48"/>
      <c r="E515" s="324"/>
      <c r="F515" s="325"/>
      <c r="G515" s="325"/>
      <c r="H515" s="48"/>
      <c r="I515" s="48"/>
      <c r="J515" s="84"/>
      <c r="K515" s="48"/>
      <c r="L515" s="164"/>
      <c r="M515" s="48"/>
      <c r="N515" s="48"/>
      <c r="O515" s="48"/>
      <c r="P515" s="165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</row>
    <row r="516" ht="15.75" hidden="1" customHeight="1">
      <c r="A516" s="48"/>
      <c r="B516" s="48"/>
      <c r="C516" s="48"/>
      <c r="D516" s="48"/>
      <c r="E516" s="324"/>
      <c r="F516" s="325"/>
      <c r="G516" s="325"/>
      <c r="H516" s="48"/>
      <c r="I516" s="48"/>
      <c r="J516" s="84"/>
      <c r="K516" s="48"/>
      <c r="L516" s="164"/>
      <c r="M516" s="48"/>
      <c r="N516" s="48"/>
      <c r="O516" s="48"/>
      <c r="P516" s="165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</row>
    <row r="517" ht="15.75" hidden="1" customHeight="1">
      <c r="A517" s="48"/>
      <c r="B517" s="48"/>
      <c r="C517" s="48"/>
      <c r="D517" s="48"/>
      <c r="E517" s="324"/>
      <c r="F517" s="325"/>
      <c r="G517" s="325"/>
      <c r="H517" s="48"/>
      <c r="I517" s="48"/>
      <c r="J517" s="84"/>
      <c r="K517" s="48"/>
      <c r="L517" s="164"/>
      <c r="M517" s="48"/>
      <c r="N517" s="48"/>
      <c r="O517" s="48"/>
      <c r="P517" s="165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</row>
    <row r="518" ht="15.75" hidden="1" customHeight="1">
      <c r="A518" s="48"/>
      <c r="B518" s="48"/>
      <c r="C518" s="48"/>
      <c r="D518" s="48"/>
      <c r="E518" s="324"/>
      <c r="F518" s="325"/>
      <c r="G518" s="325"/>
      <c r="H518" s="48"/>
      <c r="I518" s="48"/>
      <c r="J518" s="84"/>
      <c r="K518" s="48"/>
      <c r="L518" s="164"/>
      <c r="M518" s="48"/>
      <c r="N518" s="48"/>
      <c r="O518" s="48"/>
      <c r="P518" s="165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</row>
    <row r="519" ht="15.75" hidden="1" customHeight="1">
      <c r="A519" s="48"/>
      <c r="B519" s="48"/>
      <c r="C519" s="48"/>
      <c r="D519" s="48"/>
      <c r="E519" s="324"/>
      <c r="F519" s="325"/>
      <c r="G519" s="325"/>
      <c r="H519" s="48"/>
      <c r="I519" s="48"/>
      <c r="J519" s="84"/>
      <c r="K519" s="48"/>
      <c r="L519" s="164"/>
      <c r="M519" s="48"/>
      <c r="N519" s="48"/>
      <c r="O519" s="48"/>
      <c r="P519" s="165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</row>
    <row r="520" ht="15.75" hidden="1" customHeight="1">
      <c r="A520" s="48"/>
      <c r="B520" s="48"/>
      <c r="C520" s="48"/>
      <c r="D520" s="48"/>
      <c r="E520" s="324"/>
      <c r="F520" s="325"/>
      <c r="G520" s="325"/>
      <c r="H520" s="48"/>
      <c r="I520" s="48"/>
      <c r="J520" s="84"/>
      <c r="K520" s="48"/>
      <c r="L520" s="164"/>
      <c r="M520" s="48"/>
      <c r="N520" s="48"/>
      <c r="O520" s="48"/>
      <c r="P520" s="165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</row>
    <row r="521" ht="15.75" hidden="1" customHeight="1">
      <c r="A521" s="48"/>
      <c r="B521" s="48"/>
      <c r="C521" s="48"/>
      <c r="D521" s="48"/>
      <c r="E521" s="324"/>
      <c r="F521" s="325"/>
      <c r="G521" s="325"/>
      <c r="H521" s="48"/>
      <c r="I521" s="48"/>
      <c r="J521" s="84"/>
      <c r="K521" s="48"/>
      <c r="L521" s="164"/>
      <c r="M521" s="48"/>
      <c r="N521" s="48"/>
      <c r="O521" s="48"/>
      <c r="P521" s="165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</row>
    <row r="522" ht="15.75" hidden="1" customHeight="1">
      <c r="A522" s="48"/>
      <c r="B522" s="48"/>
      <c r="C522" s="48"/>
      <c r="D522" s="48"/>
      <c r="E522" s="324"/>
      <c r="F522" s="325"/>
      <c r="G522" s="325"/>
      <c r="H522" s="48"/>
      <c r="I522" s="48"/>
      <c r="J522" s="84"/>
      <c r="K522" s="48"/>
      <c r="L522" s="164"/>
      <c r="M522" s="48"/>
      <c r="N522" s="48"/>
      <c r="O522" s="48"/>
      <c r="P522" s="165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</row>
    <row r="523" ht="15.75" hidden="1" customHeight="1">
      <c r="A523" s="48"/>
      <c r="B523" s="48"/>
      <c r="C523" s="48"/>
      <c r="D523" s="48"/>
      <c r="E523" s="324"/>
      <c r="F523" s="325"/>
      <c r="G523" s="325"/>
      <c r="H523" s="48"/>
      <c r="I523" s="48"/>
      <c r="J523" s="84"/>
      <c r="K523" s="48"/>
      <c r="L523" s="164"/>
      <c r="M523" s="48"/>
      <c r="N523" s="48"/>
      <c r="O523" s="48"/>
      <c r="P523" s="165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</row>
    <row r="524" ht="15.75" hidden="1" customHeight="1">
      <c r="A524" s="48"/>
      <c r="B524" s="48"/>
      <c r="C524" s="48"/>
      <c r="D524" s="48"/>
      <c r="E524" s="324"/>
      <c r="F524" s="325"/>
      <c r="G524" s="325"/>
      <c r="H524" s="48"/>
      <c r="I524" s="48"/>
      <c r="J524" s="84"/>
      <c r="K524" s="48"/>
      <c r="L524" s="164"/>
      <c r="M524" s="48"/>
      <c r="N524" s="48"/>
      <c r="O524" s="48"/>
      <c r="P524" s="165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</row>
    <row r="525" ht="15.75" hidden="1" customHeight="1">
      <c r="A525" s="48"/>
      <c r="B525" s="48"/>
      <c r="C525" s="48"/>
      <c r="D525" s="48"/>
      <c r="E525" s="324"/>
      <c r="F525" s="325"/>
      <c r="G525" s="325"/>
      <c r="H525" s="48"/>
      <c r="I525" s="48"/>
      <c r="J525" s="84"/>
      <c r="K525" s="48"/>
      <c r="L525" s="164"/>
      <c r="M525" s="48"/>
      <c r="N525" s="48"/>
      <c r="O525" s="48"/>
      <c r="P525" s="165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</row>
    <row r="526" ht="15.75" hidden="1" customHeight="1">
      <c r="A526" s="48"/>
      <c r="B526" s="48"/>
      <c r="C526" s="48"/>
      <c r="D526" s="48"/>
      <c r="E526" s="324"/>
      <c r="F526" s="325"/>
      <c r="G526" s="325"/>
      <c r="H526" s="48"/>
      <c r="I526" s="48"/>
      <c r="J526" s="84"/>
      <c r="K526" s="48"/>
      <c r="L526" s="164"/>
      <c r="M526" s="48"/>
      <c r="N526" s="48"/>
      <c r="O526" s="48"/>
      <c r="P526" s="165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</row>
    <row r="527" ht="15.75" hidden="1" customHeight="1">
      <c r="A527" s="48"/>
      <c r="B527" s="48"/>
      <c r="C527" s="48"/>
      <c r="D527" s="48"/>
      <c r="E527" s="324"/>
      <c r="F527" s="325"/>
      <c r="G527" s="325"/>
      <c r="H527" s="48"/>
      <c r="I527" s="48"/>
      <c r="J527" s="84"/>
      <c r="K527" s="48"/>
      <c r="L527" s="164"/>
      <c r="M527" s="48"/>
      <c r="N527" s="48"/>
      <c r="O527" s="48"/>
      <c r="P527" s="165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</row>
    <row r="528" ht="15.75" hidden="1" customHeight="1">
      <c r="A528" s="48"/>
      <c r="B528" s="48"/>
      <c r="C528" s="48"/>
      <c r="D528" s="48"/>
      <c r="E528" s="324"/>
      <c r="F528" s="325"/>
      <c r="G528" s="325"/>
      <c r="H528" s="48"/>
      <c r="I528" s="48"/>
      <c r="J528" s="84"/>
      <c r="K528" s="48"/>
      <c r="L528" s="164"/>
      <c r="M528" s="48"/>
      <c r="N528" s="48"/>
      <c r="O528" s="48"/>
      <c r="P528" s="165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</row>
    <row r="529" ht="15.75" hidden="1" customHeight="1">
      <c r="A529" s="48"/>
      <c r="B529" s="48"/>
      <c r="C529" s="48"/>
      <c r="D529" s="48"/>
      <c r="E529" s="324"/>
      <c r="F529" s="325"/>
      <c r="G529" s="325"/>
      <c r="H529" s="48"/>
      <c r="I529" s="48"/>
      <c r="J529" s="84"/>
      <c r="K529" s="48"/>
      <c r="L529" s="164"/>
      <c r="M529" s="48"/>
      <c r="N529" s="48"/>
      <c r="O529" s="48"/>
      <c r="P529" s="165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</row>
    <row r="530" ht="15.75" hidden="1" customHeight="1">
      <c r="A530" s="48"/>
      <c r="B530" s="48"/>
      <c r="C530" s="48"/>
      <c r="D530" s="48"/>
      <c r="E530" s="324"/>
      <c r="F530" s="325"/>
      <c r="G530" s="325"/>
      <c r="H530" s="48"/>
      <c r="I530" s="48"/>
      <c r="J530" s="84"/>
      <c r="K530" s="48"/>
      <c r="L530" s="164"/>
      <c r="M530" s="48"/>
      <c r="N530" s="48"/>
      <c r="O530" s="48"/>
      <c r="P530" s="165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</row>
    <row r="531" ht="15.75" hidden="1" customHeight="1">
      <c r="A531" s="48"/>
      <c r="B531" s="48"/>
      <c r="C531" s="48"/>
      <c r="D531" s="48"/>
      <c r="E531" s="324"/>
      <c r="F531" s="325"/>
      <c r="G531" s="325"/>
      <c r="H531" s="48"/>
      <c r="I531" s="48"/>
      <c r="J531" s="84"/>
      <c r="K531" s="48"/>
      <c r="L531" s="164"/>
      <c r="M531" s="48"/>
      <c r="N531" s="48"/>
      <c r="O531" s="48"/>
      <c r="P531" s="165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</row>
    <row r="532" ht="15.75" hidden="1" customHeight="1">
      <c r="A532" s="48"/>
      <c r="B532" s="48"/>
      <c r="C532" s="48"/>
      <c r="D532" s="48"/>
      <c r="E532" s="324"/>
      <c r="F532" s="325"/>
      <c r="G532" s="325"/>
      <c r="H532" s="48"/>
      <c r="I532" s="48"/>
      <c r="J532" s="84"/>
      <c r="K532" s="48"/>
      <c r="L532" s="164"/>
      <c r="M532" s="48"/>
      <c r="N532" s="48"/>
      <c r="O532" s="48"/>
      <c r="P532" s="165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</row>
    <row r="533" ht="15.75" hidden="1" customHeight="1">
      <c r="A533" s="48"/>
      <c r="B533" s="48"/>
      <c r="C533" s="48"/>
      <c r="D533" s="48"/>
      <c r="E533" s="324"/>
      <c r="F533" s="325"/>
      <c r="G533" s="325"/>
      <c r="H533" s="48"/>
      <c r="I533" s="48"/>
      <c r="J533" s="84"/>
      <c r="K533" s="48"/>
      <c r="L533" s="164"/>
      <c r="M533" s="48"/>
      <c r="N533" s="48"/>
      <c r="O533" s="48"/>
      <c r="P533" s="165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</row>
    <row r="534" ht="15.75" hidden="1" customHeight="1">
      <c r="A534" s="48"/>
      <c r="B534" s="48"/>
      <c r="C534" s="48"/>
      <c r="D534" s="48"/>
      <c r="E534" s="324"/>
      <c r="F534" s="325"/>
      <c r="G534" s="325"/>
      <c r="H534" s="48"/>
      <c r="I534" s="48"/>
      <c r="J534" s="84"/>
      <c r="K534" s="48"/>
      <c r="L534" s="164"/>
      <c r="M534" s="48"/>
      <c r="N534" s="48"/>
      <c r="O534" s="48"/>
      <c r="P534" s="165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</row>
    <row r="535" ht="15.75" hidden="1" customHeight="1">
      <c r="A535" s="48"/>
      <c r="B535" s="48"/>
      <c r="C535" s="48"/>
      <c r="D535" s="48"/>
      <c r="E535" s="324"/>
      <c r="F535" s="325"/>
      <c r="G535" s="325"/>
      <c r="H535" s="48"/>
      <c r="I535" s="48"/>
      <c r="J535" s="84"/>
      <c r="K535" s="48"/>
      <c r="L535" s="164"/>
      <c r="M535" s="48"/>
      <c r="N535" s="48"/>
      <c r="O535" s="48"/>
      <c r="P535" s="165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</row>
    <row r="536" ht="15.75" hidden="1" customHeight="1">
      <c r="A536" s="48"/>
      <c r="B536" s="48"/>
      <c r="C536" s="48"/>
      <c r="D536" s="48"/>
      <c r="E536" s="324"/>
      <c r="F536" s="325"/>
      <c r="G536" s="325"/>
      <c r="H536" s="48"/>
      <c r="I536" s="48"/>
      <c r="J536" s="84"/>
      <c r="K536" s="48"/>
      <c r="L536" s="164"/>
      <c r="M536" s="48"/>
      <c r="N536" s="48"/>
      <c r="O536" s="48"/>
      <c r="P536" s="165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</row>
    <row r="537" ht="15.75" hidden="1" customHeight="1">
      <c r="A537" s="48"/>
      <c r="B537" s="48"/>
      <c r="C537" s="48"/>
      <c r="D537" s="48"/>
      <c r="E537" s="324"/>
      <c r="F537" s="325"/>
      <c r="G537" s="325"/>
      <c r="H537" s="48"/>
      <c r="I537" s="48"/>
      <c r="J537" s="84"/>
      <c r="K537" s="48"/>
      <c r="L537" s="164"/>
      <c r="M537" s="48"/>
      <c r="N537" s="48"/>
      <c r="O537" s="48"/>
      <c r="P537" s="165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</row>
    <row r="538" ht="15.75" hidden="1" customHeight="1">
      <c r="A538" s="48"/>
      <c r="B538" s="48"/>
      <c r="C538" s="48"/>
      <c r="D538" s="48"/>
      <c r="E538" s="324"/>
      <c r="F538" s="325"/>
      <c r="G538" s="325"/>
      <c r="H538" s="48"/>
      <c r="I538" s="48"/>
      <c r="J538" s="84"/>
      <c r="K538" s="48"/>
      <c r="L538" s="164"/>
      <c r="M538" s="48"/>
      <c r="N538" s="48"/>
      <c r="O538" s="48"/>
      <c r="P538" s="165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</row>
    <row r="539" ht="15.75" hidden="1" customHeight="1">
      <c r="A539" s="48"/>
      <c r="B539" s="48"/>
      <c r="C539" s="48"/>
      <c r="D539" s="48"/>
      <c r="E539" s="324"/>
      <c r="F539" s="325"/>
      <c r="G539" s="325"/>
      <c r="H539" s="48"/>
      <c r="I539" s="48"/>
      <c r="J539" s="84"/>
      <c r="K539" s="48"/>
      <c r="L539" s="164"/>
      <c r="M539" s="48"/>
      <c r="N539" s="48"/>
      <c r="O539" s="48"/>
      <c r="P539" s="165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</row>
    <row r="540" ht="15.75" hidden="1" customHeight="1">
      <c r="A540" s="48"/>
      <c r="B540" s="48"/>
      <c r="C540" s="48"/>
      <c r="D540" s="48"/>
      <c r="E540" s="324"/>
      <c r="F540" s="325"/>
      <c r="G540" s="325"/>
      <c r="H540" s="48"/>
      <c r="I540" s="48"/>
      <c r="J540" s="84"/>
      <c r="K540" s="48"/>
      <c r="L540" s="164"/>
      <c r="M540" s="48"/>
      <c r="N540" s="48"/>
      <c r="O540" s="48"/>
      <c r="P540" s="165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</row>
    <row r="541" ht="15.75" hidden="1" customHeight="1">
      <c r="A541" s="48"/>
      <c r="B541" s="48"/>
      <c r="C541" s="48"/>
      <c r="D541" s="48"/>
      <c r="E541" s="324"/>
      <c r="F541" s="325"/>
      <c r="G541" s="325"/>
      <c r="H541" s="48"/>
      <c r="I541" s="48"/>
      <c r="J541" s="84"/>
      <c r="K541" s="48"/>
      <c r="L541" s="164"/>
      <c r="M541" s="48"/>
      <c r="N541" s="48"/>
      <c r="O541" s="48"/>
      <c r="P541" s="165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</row>
    <row r="542" ht="15.75" hidden="1" customHeight="1">
      <c r="A542" s="48"/>
      <c r="B542" s="48"/>
      <c r="C542" s="48"/>
      <c r="D542" s="48"/>
      <c r="E542" s="324"/>
      <c r="F542" s="325"/>
      <c r="G542" s="325"/>
      <c r="H542" s="48"/>
      <c r="I542" s="48"/>
      <c r="J542" s="84"/>
      <c r="K542" s="48"/>
      <c r="L542" s="164"/>
      <c r="M542" s="48"/>
      <c r="N542" s="48"/>
      <c r="O542" s="48"/>
      <c r="P542" s="165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</row>
    <row r="543" ht="15.75" hidden="1" customHeight="1">
      <c r="A543" s="48"/>
      <c r="B543" s="48"/>
      <c r="C543" s="48"/>
      <c r="D543" s="48"/>
      <c r="E543" s="324"/>
      <c r="F543" s="325"/>
      <c r="G543" s="325"/>
      <c r="H543" s="48"/>
      <c r="I543" s="48"/>
      <c r="J543" s="84"/>
      <c r="K543" s="48"/>
      <c r="L543" s="164"/>
      <c r="M543" s="48"/>
      <c r="N543" s="48"/>
      <c r="O543" s="48"/>
      <c r="P543" s="165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</row>
    <row r="544" ht="15.75" hidden="1" customHeight="1">
      <c r="A544" s="48"/>
      <c r="B544" s="48"/>
      <c r="C544" s="48"/>
      <c r="D544" s="48"/>
      <c r="E544" s="324"/>
      <c r="F544" s="325"/>
      <c r="G544" s="325"/>
      <c r="H544" s="48"/>
      <c r="I544" s="48"/>
      <c r="J544" s="84"/>
      <c r="K544" s="48"/>
      <c r="L544" s="164"/>
      <c r="M544" s="48"/>
      <c r="N544" s="48"/>
      <c r="O544" s="48"/>
      <c r="P544" s="165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</row>
    <row r="545" ht="15.75" hidden="1" customHeight="1">
      <c r="A545" s="48"/>
      <c r="B545" s="48"/>
      <c r="C545" s="48"/>
      <c r="D545" s="48"/>
      <c r="E545" s="324"/>
      <c r="F545" s="325"/>
      <c r="G545" s="325"/>
      <c r="H545" s="48"/>
      <c r="I545" s="48"/>
      <c r="J545" s="84"/>
      <c r="K545" s="48"/>
      <c r="L545" s="164"/>
      <c r="M545" s="48"/>
      <c r="N545" s="48"/>
      <c r="O545" s="48"/>
      <c r="P545" s="165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</row>
    <row r="546" ht="15.75" hidden="1" customHeight="1">
      <c r="A546" s="48"/>
      <c r="B546" s="48"/>
      <c r="C546" s="48"/>
      <c r="D546" s="48"/>
      <c r="E546" s="324"/>
      <c r="F546" s="325"/>
      <c r="G546" s="325"/>
      <c r="H546" s="48"/>
      <c r="I546" s="48"/>
      <c r="J546" s="84"/>
      <c r="K546" s="48"/>
      <c r="L546" s="164"/>
      <c r="M546" s="48"/>
      <c r="N546" s="48"/>
      <c r="O546" s="48"/>
      <c r="P546" s="165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</row>
    <row r="547" ht="15.75" hidden="1" customHeight="1">
      <c r="A547" s="48"/>
      <c r="B547" s="48"/>
      <c r="C547" s="48"/>
      <c r="D547" s="48"/>
      <c r="E547" s="324"/>
      <c r="F547" s="325"/>
      <c r="G547" s="325"/>
      <c r="H547" s="48"/>
      <c r="I547" s="48"/>
      <c r="J547" s="84"/>
      <c r="K547" s="48"/>
      <c r="L547" s="164"/>
      <c r="M547" s="48"/>
      <c r="N547" s="48"/>
      <c r="O547" s="48"/>
      <c r="P547" s="165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</row>
    <row r="548" ht="15.75" hidden="1" customHeight="1">
      <c r="A548" s="48"/>
      <c r="B548" s="48"/>
      <c r="C548" s="48"/>
      <c r="D548" s="48"/>
      <c r="E548" s="324"/>
      <c r="F548" s="325"/>
      <c r="G548" s="325"/>
      <c r="H548" s="48"/>
      <c r="I548" s="48"/>
      <c r="J548" s="84"/>
      <c r="K548" s="48"/>
      <c r="L548" s="164"/>
      <c r="M548" s="48"/>
      <c r="N548" s="48"/>
      <c r="O548" s="48"/>
      <c r="P548" s="165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</row>
    <row r="549" ht="15.75" hidden="1" customHeight="1">
      <c r="A549" s="48"/>
      <c r="B549" s="48"/>
      <c r="C549" s="48"/>
      <c r="D549" s="48"/>
      <c r="E549" s="324"/>
      <c r="F549" s="325"/>
      <c r="G549" s="325"/>
      <c r="H549" s="48"/>
      <c r="I549" s="48"/>
      <c r="J549" s="84"/>
      <c r="K549" s="48"/>
      <c r="L549" s="164"/>
      <c r="M549" s="48"/>
      <c r="N549" s="48"/>
      <c r="O549" s="48"/>
      <c r="P549" s="165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</row>
    <row r="550" ht="15.75" hidden="1" customHeight="1">
      <c r="A550" s="48"/>
      <c r="B550" s="48"/>
      <c r="C550" s="48"/>
      <c r="D550" s="48"/>
      <c r="E550" s="324"/>
      <c r="F550" s="325"/>
      <c r="G550" s="325"/>
      <c r="H550" s="48"/>
      <c r="I550" s="48"/>
      <c r="J550" s="84"/>
      <c r="K550" s="48"/>
      <c r="L550" s="164"/>
      <c r="M550" s="48"/>
      <c r="N550" s="48"/>
      <c r="O550" s="48"/>
      <c r="P550" s="165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</row>
    <row r="551" ht="15.75" hidden="1" customHeight="1">
      <c r="A551" s="48"/>
      <c r="B551" s="48"/>
      <c r="C551" s="48"/>
      <c r="D551" s="48"/>
      <c r="E551" s="324"/>
      <c r="F551" s="325"/>
      <c r="G551" s="325"/>
      <c r="H551" s="48"/>
      <c r="I551" s="48"/>
      <c r="J551" s="84"/>
      <c r="K551" s="48"/>
      <c r="L551" s="164"/>
      <c r="M551" s="48"/>
      <c r="N551" s="48"/>
      <c r="O551" s="48"/>
      <c r="P551" s="165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</row>
    <row r="552" ht="15.75" hidden="1" customHeight="1">
      <c r="A552" s="48"/>
      <c r="B552" s="48"/>
      <c r="C552" s="48"/>
      <c r="D552" s="48"/>
      <c r="E552" s="324"/>
      <c r="F552" s="325"/>
      <c r="G552" s="325"/>
      <c r="H552" s="48"/>
      <c r="I552" s="48"/>
      <c r="J552" s="84"/>
      <c r="K552" s="48"/>
      <c r="L552" s="164"/>
      <c r="M552" s="48"/>
      <c r="N552" s="48"/>
      <c r="O552" s="48"/>
      <c r="P552" s="165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</row>
    <row r="553" ht="15.75" hidden="1" customHeight="1">
      <c r="A553" s="48"/>
      <c r="B553" s="48"/>
      <c r="C553" s="48"/>
      <c r="D553" s="48"/>
      <c r="E553" s="324"/>
      <c r="F553" s="325"/>
      <c r="G553" s="325"/>
      <c r="H553" s="48"/>
      <c r="I553" s="48"/>
      <c r="J553" s="84"/>
      <c r="K553" s="48"/>
      <c r="L553" s="164"/>
      <c r="M553" s="48"/>
      <c r="N553" s="48"/>
      <c r="O553" s="48"/>
      <c r="P553" s="165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</row>
    <row r="554" ht="15.75" hidden="1" customHeight="1">
      <c r="A554" s="48"/>
      <c r="B554" s="48"/>
      <c r="C554" s="48"/>
      <c r="D554" s="48"/>
      <c r="E554" s="324"/>
      <c r="F554" s="325"/>
      <c r="G554" s="325"/>
      <c r="H554" s="48"/>
      <c r="I554" s="48"/>
      <c r="J554" s="84"/>
      <c r="K554" s="48"/>
      <c r="L554" s="164"/>
      <c r="M554" s="48"/>
      <c r="N554" s="48"/>
      <c r="O554" s="48"/>
      <c r="P554" s="165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</row>
    <row r="555" ht="15.75" hidden="1" customHeight="1">
      <c r="A555" s="48"/>
      <c r="B555" s="48"/>
      <c r="C555" s="48"/>
      <c r="D555" s="48"/>
      <c r="E555" s="324"/>
      <c r="F555" s="325"/>
      <c r="G555" s="325"/>
      <c r="H555" s="48"/>
      <c r="I555" s="48"/>
      <c r="J555" s="84"/>
      <c r="K555" s="48"/>
      <c r="L555" s="164"/>
      <c r="M555" s="48"/>
      <c r="N555" s="48"/>
      <c r="O555" s="48"/>
      <c r="P555" s="165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</row>
    <row r="556" ht="15.75" hidden="1" customHeight="1">
      <c r="A556" s="48"/>
      <c r="B556" s="48"/>
      <c r="C556" s="48"/>
      <c r="D556" s="48"/>
      <c r="E556" s="324"/>
      <c r="F556" s="325"/>
      <c r="G556" s="325"/>
      <c r="H556" s="48"/>
      <c r="I556" s="48"/>
      <c r="J556" s="84"/>
      <c r="K556" s="48"/>
      <c r="L556" s="164"/>
      <c r="M556" s="48"/>
      <c r="N556" s="48"/>
      <c r="O556" s="48"/>
      <c r="P556" s="165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</row>
    <row r="557" ht="15.75" hidden="1" customHeight="1">
      <c r="A557" s="48"/>
      <c r="B557" s="48"/>
      <c r="C557" s="48"/>
      <c r="D557" s="48"/>
      <c r="E557" s="324"/>
      <c r="F557" s="325"/>
      <c r="G557" s="325"/>
      <c r="H557" s="48"/>
      <c r="I557" s="48"/>
      <c r="J557" s="84"/>
      <c r="K557" s="48"/>
      <c r="L557" s="164"/>
      <c r="M557" s="48"/>
      <c r="N557" s="48"/>
      <c r="O557" s="48"/>
      <c r="P557" s="165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</row>
    <row r="558" ht="15.75" hidden="1" customHeight="1">
      <c r="A558" s="48"/>
      <c r="B558" s="48"/>
      <c r="C558" s="48"/>
      <c r="D558" s="48"/>
      <c r="E558" s="324"/>
      <c r="F558" s="325"/>
      <c r="G558" s="325"/>
      <c r="H558" s="48"/>
      <c r="I558" s="48"/>
      <c r="J558" s="84"/>
      <c r="K558" s="48"/>
      <c r="L558" s="164"/>
      <c r="M558" s="48"/>
      <c r="N558" s="48"/>
      <c r="O558" s="48"/>
      <c r="P558" s="165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</row>
    <row r="559" ht="15.75" hidden="1" customHeight="1">
      <c r="A559" s="48"/>
      <c r="B559" s="48"/>
      <c r="C559" s="48"/>
      <c r="D559" s="48"/>
      <c r="E559" s="324"/>
      <c r="F559" s="325"/>
      <c r="G559" s="325"/>
      <c r="H559" s="48"/>
      <c r="I559" s="48"/>
      <c r="J559" s="84"/>
      <c r="K559" s="48"/>
      <c r="L559" s="164"/>
      <c r="M559" s="48"/>
      <c r="N559" s="48"/>
      <c r="O559" s="48"/>
      <c r="P559" s="165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</row>
    <row r="560" ht="15.75" hidden="1" customHeight="1">
      <c r="A560" s="48"/>
      <c r="B560" s="48"/>
      <c r="C560" s="48"/>
      <c r="D560" s="48"/>
      <c r="E560" s="324"/>
      <c r="F560" s="325"/>
      <c r="G560" s="325"/>
      <c r="H560" s="48"/>
      <c r="I560" s="48"/>
      <c r="J560" s="84"/>
      <c r="K560" s="48"/>
      <c r="L560" s="164"/>
      <c r="M560" s="48"/>
      <c r="N560" s="48"/>
      <c r="O560" s="48"/>
      <c r="P560" s="165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</row>
    <row r="561" ht="15.75" hidden="1" customHeight="1">
      <c r="A561" s="48"/>
      <c r="B561" s="48"/>
      <c r="C561" s="48"/>
      <c r="D561" s="48"/>
      <c r="E561" s="324"/>
      <c r="F561" s="325"/>
      <c r="G561" s="325"/>
      <c r="H561" s="48"/>
      <c r="I561" s="48"/>
      <c r="J561" s="84"/>
      <c r="K561" s="48"/>
      <c r="L561" s="164"/>
      <c r="M561" s="48"/>
      <c r="N561" s="48"/>
      <c r="O561" s="48"/>
      <c r="P561" s="165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</row>
    <row r="562" ht="15.75" hidden="1" customHeight="1">
      <c r="A562" s="48"/>
      <c r="B562" s="48"/>
      <c r="C562" s="48"/>
      <c r="D562" s="48"/>
      <c r="E562" s="324"/>
      <c r="F562" s="325"/>
      <c r="G562" s="325"/>
      <c r="H562" s="48"/>
      <c r="I562" s="48"/>
      <c r="J562" s="84"/>
      <c r="K562" s="48"/>
      <c r="L562" s="164"/>
      <c r="M562" s="48"/>
      <c r="N562" s="48"/>
      <c r="O562" s="48"/>
      <c r="P562" s="165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</row>
    <row r="563" ht="15.75" hidden="1" customHeight="1">
      <c r="A563" s="48"/>
      <c r="B563" s="48"/>
      <c r="C563" s="48"/>
      <c r="D563" s="48"/>
      <c r="E563" s="324"/>
      <c r="F563" s="325"/>
      <c r="G563" s="325"/>
      <c r="H563" s="48"/>
      <c r="I563" s="48"/>
      <c r="J563" s="84"/>
      <c r="K563" s="48"/>
      <c r="L563" s="164"/>
      <c r="M563" s="48"/>
      <c r="N563" s="48"/>
      <c r="O563" s="48"/>
      <c r="P563" s="165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</row>
    <row r="564" ht="15.75" hidden="1" customHeight="1">
      <c r="A564" s="48"/>
      <c r="B564" s="48"/>
      <c r="C564" s="48"/>
      <c r="D564" s="48"/>
      <c r="E564" s="324"/>
      <c r="F564" s="325"/>
      <c r="G564" s="325"/>
      <c r="H564" s="48"/>
      <c r="I564" s="48"/>
      <c r="J564" s="84"/>
      <c r="K564" s="48"/>
      <c r="L564" s="164"/>
      <c r="M564" s="48"/>
      <c r="N564" s="48"/>
      <c r="O564" s="48"/>
      <c r="P564" s="165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</row>
    <row r="565" ht="15.75" hidden="1" customHeight="1">
      <c r="A565" s="48"/>
      <c r="B565" s="48"/>
      <c r="C565" s="48"/>
      <c r="D565" s="48"/>
      <c r="E565" s="324"/>
      <c r="F565" s="325"/>
      <c r="G565" s="325"/>
      <c r="H565" s="48"/>
      <c r="I565" s="48"/>
      <c r="J565" s="84"/>
      <c r="K565" s="48"/>
      <c r="L565" s="164"/>
      <c r="M565" s="48"/>
      <c r="N565" s="48"/>
      <c r="O565" s="48"/>
      <c r="P565" s="165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</row>
    <row r="566" ht="15.75" hidden="1" customHeight="1">
      <c r="A566" s="48"/>
      <c r="B566" s="48"/>
      <c r="C566" s="48"/>
      <c r="D566" s="48"/>
      <c r="E566" s="324"/>
      <c r="F566" s="325"/>
      <c r="G566" s="325"/>
      <c r="H566" s="48"/>
      <c r="I566" s="48"/>
      <c r="J566" s="84"/>
      <c r="K566" s="48"/>
      <c r="L566" s="164"/>
      <c r="M566" s="48"/>
      <c r="N566" s="48"/>
      <c r="O566" s="48"/>
      <c r="P566" s="165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</row>
    <row r="567" ht="15.75" hidden="1" customHeight="1">
      <c r="A567" s="48"/>
      <c r="B567" s="48"/>
      <c r="C567" s="48"/>
      <c r="D567" s="48"/>
      <c r="E567" s="324"/>
      <c r="F567" s="325"/>
      <c r="G567" s="325"/>
      <c r="H567" s="48"/>
      <c r="I567" s="48"/>
      <c r="J567" s="84"/>
      <c r="K567" s="48"/>
      <c r="L567" s="164"/>
      <c r="M567" s="48"/>
      <c r="N567" s="48"/>
      <c r="O567" s="48"/>
      <c r="P567" s="165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</row>
    <row r="568" ht="15.75" hidden="1" customHeight="1">
      <c r="A568" s="48"/>
      <c r="B568" s="48"/>
      <c r="C568" s="48"/>
      <c r="D568" s="48"/>
      <c r="E568" s="324"/>
      <c r="F568" s="325"/>
      <c r="G568" s="325"/>
      <c r="H568" s="48"/>
      <c r="I568" s="48"/>
      <c r="J568" s="84"/>
      <c r="K568" s="48"/>
      <c r="L568" s="164"/>
      <c r="M568" s="48"/>
      <c r="N568" s="48"/>
      <c r="O568" s="48"/>
      <c r="P568" s="165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</row>
    <row r="569" ht="15.75" hidden="1" customHeight="1">
      <c r="A569" s="48"/>
      <c r="B569" s="48"/>
      <c r="C569" s="48"/>
      <c r="D569" s="48"/>
      <c r="E569" s="324"/>
      <c r="F569" s="325"/>
      <c r="G569" s="325"/>
      <c r="H569" s="48"/>
      <c r="I569" s="48"/>
      <c r="J569" s="84"/>
      <c r="K569" s="48"/>
      <c r="L569" s="164"/>
      <c r="M569" s="48"/>
      <c r="N569" s="48"/>
      <c r="O569" s="48"/>
      <c r="P569" s="165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</row>
    <row r="570" ht="15.75" hidden="1" customHeight="1">
      <c r="A570" s="48"/>
      <c r="B570" s="48"/>
      <c r="C570" s="48"/>
      <c r="D570" s="48"/>
      <c r="E570" s="324"/>
      <c r="F570" s="325"/>
      <c r="G570" s="325"/>
      <c r="H570" s="48"/>
      <c r="I570" s="48"/>
      <c r="J570" s="84"/>
      <c r="K570" s="48"/>
      <c r="L570" s="164"/>
      <c r="M570" s="48"/>
      <c r="N570" s="48"/>
      <c r="O570" s="48"/>
      <c r="P570" s="165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</row>
    <row r="571" ht="15.75" hidden="1" customHeight="1">
      <c r="A571" s="48"/>
      <c r="B571" s="48"/>
      <c r="C571" s="48"/>
      <c r="D571" s="48"/>
      <c r="E571" s="324"/>
      <c r="F571" s="325"/>
      <c r="G571" s="325"/>
      <c r="H571" s="48"/>
      <c r="I571" s="48"/>
      <c r="J571" s="84"/>
      <c r="K571" s="48"/>
      <c r="L571" s="164"/>
      <c r="M571" s="48"/>
      <c r="N571" s="48"/>
      <c r="O571" s="48"/>
      <c r="P571" s="165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</row>
    <row r="572" ht="15.75" hidden="1" customHeight="1">
      <c r="A572" s="48"/>
      <c r="B572" s="48"/>
      <c r="C572" s="48"/>
      <c r="D572" s="48"/>
      <c r="E572" s="324"/>
      <c r="F572" s="325"/>
      <c r="G572" s="325"/>
      <c r="H572" s="48"/>
      <c r="I572" s="48"/>
      <c r="J572" s="84"/>
      <c r="K572" s="48"/>
      <c r="L572" s="164"/>
      <c r="M572" s="48"/>
      <c r="N572" s="48"/>
      <c r="O572" s="48"/>
      <c r="P572" s="165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</row>
    <row r="573" ht="15.75" hidden="1" customHeight="1">
      <c r="A573" s="48"/>
      <c r="B573" s="48"/>
      <c r="C573" s="48"/>
      <c r="D573" s="48"/>
      <c r="E573" s="324"/>
      <c r="F573" s="325"/>
      <c r="G573" s="325"/>
      <c r="H573" s="48"/>
      <c r="I573" s="48"/>
      <c r="J573" s="84"/>
      <c r="K573" s="48"/>
      <c r="L573" s="164"/>
      <c r="M573" s="48"/>
      <c r="N573" s="48"/>
      <c r="O573" s="48"/>
      <c r="P573" s="165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</row>
    <row r="574" ht="15.75" hidden="1" customHeight="1">
      <c r="A574" s="48"/>
      <c r="B574" s="48"/>
      <c r="C574" s="48"/>
      <c r="D574" s="48"/>
      <c r="E574" s="324"/>
      <c r="F574" s="325"/>
      <c r="G574" s="325"/>
      <c r="H574" s="48"/>
      <c r="I574" s="48"/>
      <c r="J574" s="84"/>
      <c r="K574" s="48"/>
      <c r="L574" s="164"/>
      <c r="M574" s="48"/>
      <c r="N574" s="48"/>
      <c r="O574" s="48"/>
      <c r="P574" s="165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</row>
    <row r="575" ht="15.75" hidden="1" customHeight="1">
      <c r="A575" s="48"/>
      <c r="B575" s="48"/>
      <c r="C575" s="48"/>
      <c r="D575" s="48"/>
      <c r="E575" s="324"/>
      <c r="F575" s="325"/>
      <c r="G575" s="325"/>
      <c r="H575" s="48"/>
      <c r="I575" s="48"/>
      <c r="J575" s="84"/>
      <c r="K575" s="48"/>
      <c r="L575" s="164"/>
      <c r="M575" s="48"/>
      <c r="N575" s="48"/>
      <c r="O575" s="48"/>
      <c r="P575" s="165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</row>
    <row r="576" ht="15.75" hidden="1" customHeight="1">
      <c r="A576" s="48"/>
      <c r="B576" s="48"/>
      <c r="C576" s="48"/>
      <c r="D576" s="48"/>
      <c r="E576" s="324"/>
      <c r="F576" s="325"/>
      <c r="G576" s="325"/>
      <c r="H576" s="48"/>
      <c r="I576" s="48"/>
      <c r="J576" s="84"/>
      <c r="K576" s="48"/>
      <c r="L576" s="164"/>
      <c r="M576" s="48"/>
      <c r="N576" s="48"/>
      <c r="O576" s="48"/>
      <c r="P576" s="165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</row>
    <row r="577" ht="15.75" hidden="1" customHeight="1">
      <c r="E577" s="331"/>
      <c r="F577" s="332"/>
      <c r="G577" s="332"/>
      <c r="J577" s="333"/>
      <c r="L577" s="334"/>
      <c r="P577" s="335"/>
    </row>
    <row r="578" ht="15.75" hidden="1" customHeight="1">
      <c r="E578" s="331"/>
      <c r="F578" s="332"/>
      <c r="G578" s="332"/>
      <c r="J578" s="333"/>
      <c r="L578" s="334"/>
      <c r="P578" s="335"/>
    </row>
    <row r="579" ht="15.75" hidden="1" customHeight="1">
      <c r="E579" s="331"/>
      <c r="F579" s="332"/>
      <c r="G579" s="332"/>
      <c r="J579" s="333"/>
      <c r="L579" s="334"/>
      <c r="P579" s="335"/>
    </row>
    <row r="580" ht="15.75" hidden="1" customHeight="1">
      <c r="E580" s="331"/>
      <c r="F580" s="332"/>
      <c r="G580" s="332"/>
      <c r="J580" s="333"/>
      <c r="L580" s="334"/>
      <c r="P580" s="335"/>
    </row>
    <row r="581" ht="15.75" hidden="1" customHeight="1">
      <c r="E581" s="331"/>
      <c r="F581" s="332"/>
      <c r="G581" s="332"/>
      <c r="J581" s="333"/>
      <c r="L581" s="334"/>
      <c r="P581" s="335"/>
    </row>
    <row r="582" ht="15.75" hidden="1" customHeight="1">
      <c r="E582" s="331"/>
      <c r="F582" s="332"/>
      <c r="G582" s="332"/>
      <c r="J582" s="333"/>
      <c r="L582" s="334"/>
      <c r="P582" s="335"/>
    </row>
    <row r="583" ht="15.75" hidden="1" customHeight="1">
      <c r="E583" s="331"/>
      <c r="F583" s="332"/>
      <c r="G583" s="332"/>
      <c r="J583" s="333"/>
      <c r="L583" s="334"/>
      <c r="P583" s="335"/>
    </row>
    <row r="584" ht="15.75" hidden="1" customHeight="1">
      <c r="E584" s="331"/>
      <c r="F584" s="332"/>
      <c r="G584" s="332"/>
      <c r="J584" s="333"/>
      <c r="L584" s="334"/>
      <c r="P584" s="335"/>
    </row>
    <row r="585" ht="15.75" hidden="1" customHeight="1">
      <c r="E585" s="331"/>
      <c r="F585" s="332"/>
      <c r="G585" s="332"/>
      <c r="J585" s="333"/>
      <c r="L585" s="334"/>
      <c r="P585" s="335"/>
    </row>
    <row r="586" ht="15.75" hidden="1" customHeight="1">
      <c r="E586" s="331"/>
      <c r="F586" s="332"/>
      <c r="G586" s="332"/>
      <c r="J586" s="333"/>
      <c r="L586" s="334"/>
      <c r="P586" s="335"/>
    </row>
    <row r="587" ht="15.75" hidden="1" customHeight="1">
      <c r="E587" s="331"/>
      <c r="F587" s="332"/>
      <c r="G587" s="332"/>
      <c r="J587" s="333"/>
      <c r="L587" s="334"/>
      <c r="P587" s="335"/>
    </row>
    <row r="588" ht="15.75" hidden="1" customHeight="1">
      <c r="E588" s="331"/>
      <c r="F588" s="332"/>
      <c r="G588" s="332"/>
      <c r="J588" s="333"/>
      <c r="L588" s="334"/>
      <c r="P588" s="335"/>
    </row>
    <row r="589" ht="15.75" hidden="1" customHeight="1">
      <c r="E589" s="331"/>
      <c r="F589" s="332"/>
      <c r="G589" s="332"/>
      <c r="J589" s="333"/>
      <c r="L589" s="334"/>
      <c r="P589" s="335"/>
    </row>
    <row r="590" ht="15.75" hidden="1" customHeight="1">
      <c r="E590" s="331"/>
      <c r="F590" s="332"/>
      <c r="G590" s="332"/>
      <c r="J590" s="333"/>
      <c r="L590" s="334"/>
      <c r="P590" s="335"/>
    </row>
    <row r="591" ht="15.75" hidden="1" customHeight="1">
      <c r="E591" s="331"/>
      <c r="F591" s="332"/>
      <c r="G591" s="332"/>
      <c r="J591" s="333"/>
      <c r="L591" s="334"/>
      <c r="P591" s="335"/>
    </row>
    <row r="592" ht="15.75" hidden="1" customHeight="1">
      <c r="E592" s="331"/>
      <c r="F592" s="332"/>
      <c r="G592" s="332"/>
      <c r="J592" s="333"/>
      <c r="L592" s="334"/>
      <c r="P592" s="335"/>
    </row>
    <row r="593" ht="15.75" hidden="1" customHeight="1">
      <c r="E593" s="331"/>
      <c r="F593" s="332"/>
      <c r="G593" s="332"/>
      <c r="J593" s="333"/>
      <c r="L593" s="334"/>
      <c r="P593" s="335"/>
    </row>
    <row r="594" ht="15.75" hidden="1" customHeight="1">
      <c r="E594" s="331"/>
      <c r="F594" s="332"/>
      <c r="G594" s="332"/>
      <c r="J594" s="333"/>
      <c r="L594" s="334"/>
      <c r="P594" s="335"/>
    </row>
    <row r="595" ht="15.75" hidden="1" customHeight="1">
      <c r="E595" s="331"/>
      <c r="F595" s="332"/>
      <c r="G595" s="332"/>
      <c r="J595" s="333"/>
      <c r="L595" s="334"/>
      <c r="P595" s="335"/>
    </row>
    <row r="596" ht="15.75" hidden="1" customHeight="1">
      <c r="E596" s="331"/>
      <c r="F596" s="332"/>
      <c r="G596" s="332"/>
      <c r="J596" s="333"/>
      <c r="L596" s="334"/>
      <c r="P596" s="335"/>
    </row>
    <row r="597" ht="15.75" hidden="1" customHeight="1">
      <c r="E597" s="331"/>
      <c r="F597" s="332"/>
      <c r="G597" s="332"/>
      <c r="J597" s="333"/>
      <c r="L597" s="334"/>
      <c r="P597" s="335"/>
    </row>
    <row r="598" ht="15.75" hidden="1" customHeight="1">
      <c r="E598" s="331"/>
      <c r="F598" s="332"/>
      <c r="G598" s="332"/>
      <c r="J598" s="333"/>
      <c r="L598" s="334"/>
      <c r="P598" s="335"/>
    </row>
    <row r="599" ht="15.75" hidden="1" customHeight="1">
      <c r="E599" s="331"/>
      <c r="F599" s="332"/>
      <c r="G599" s="332"/>
      <c r="J599" s="333"/>
      <c r="L599" s="334"/>
      <c r="P599" s="335"/>
    </row>
    <row r="600" ht="15.75" hidden="1" customHeight="1">
      <c r="E600" s="331"/>
      <c r="F600" s="332"/>
      <c r="G600" s="332"/>
      <c r="J600" s="333"/>
      <c r="L600" s="334"/>
      <c r="P600" s="335"/>
    </row>
    <row r="601" ht="15.75" hidden="1" customHeight="1">
      <c r="E601" s="331"/>
      <c r="F601" s="332"/>
      <c r="G601" s="332"/>
      <c r="J601" s="333"/>
      <c r="L601" s="334"/>
      <c r="P601" s="335"/>
    </row>
    <row r="602" ht="15.75" hidden="1" customHeight="1">
      <c r="E602" s="331"/>
      <c r="F602" s="332"/>
      <c r="G602" s="332"/>
      <c r="J602" s="333"/>
      <c r="L602" s="334"/>
      <c r="P602" s="335"/>
    </row>
    <row r="603" ht="15.75" hidden="1" customHeight="1">
      <c r="E603" s="331"/>
      <c r="F603" s="332"/>
      <c r="G603" s="332"/>
      <c r="J603" s="333"/>
      <c r="L603" s="334"/>
      <c r="P603" s="335"/>
    </row>
    <row r="604" ht="15.75" hidden="1" customHeight="1">
      <c r="E604" s="331"/>
      <c r="F604" s="332"/>
      <c r="G604" s="332"/>
      <c r="J604" s="333"/>
      <c r="L604" s="334"/>
      <c r="P604" s="335"/>
    </row>
    <row r="605" ht="15.75" hidden="1" customHeight="1">
      <c r="E605" s="331"/>
      <c r="F605" s="332"/>
      <c r="G605" s="332"/>
      <c r="J605" s="333"/>
      <c r="L605" s="334"/>
      <c r="P605" s="335"/>
    </row>
    <row r="606" ht="15.75" hidden="1" customHeight="1">
      <c r="E606" s="331"/>
      <c r="F606" s="332"/>
      <c r="G606" s="332"/>
      <c r="J606" s="333"/>
      <c r="L606" s="334"/>
      <c r="P606" s="335"/>
    </row>
    <row r="607" ht="15.75" hidden="1" customHeight="1">
      <c r="E607" s="331"/>
      <c r="F607" s="332"/>
      <c r="G607" s="332"/>
      <c r="J607" s="333"/>
      <c r="L607" s="334"/>
      <c r="P607" s="335"/>
    </row>
    <row r="608" ht="15.75" hidden="1" customHeight="1">
      <c r="E608" s="331"/>
      <c r="F608" s="332"/>
      <c r="G608" s="332"/>
      <c r="J608" s="333"/>
      <c r="L608" s="334"/>
      <c r="P608" s="335"/>
    </row>
    <row r="609" ht="15.75" hidden="1" customHeight="1">
      <c r="E609" s="331"/>
      <c r="F609" s="332"/>
      <c r="G609" s="332"/>
      <c r="J609" s="333"/>
      <c r="L609" s="334"/>
      <c r="P609" s="335"/>
    </row>
    <row r="610" ht="15.75" hidden="1" customHeight="1">
      <c r="E610" s="331"/>
      <c r="F610" s="332"/>
      <c r="G610" s="332"/>
      <c r="J610" s="333"/>
      <c r="L610" s="334"/>
      <c r="P610" s="335"/>
    </row>
    <row r="611" ht="15.75" hidden="1" customHeight="1">
      <c r="E611" s="331"/>
      <c r="F611" s="332"/>
      <c r="G611" s="332"/>
      <c r="J611" s="333"/>
      <c r="L611" s="334"/>
      <c r="P611" s="335"/>
    </row>
    <row r="612" ht="15.75" hidden="1" customHeight="1">
      <c r="E612" s="331"/>
      <c r="F612" s="332"/>
      <c r="G612" s="332"/>
      <c r="J612" s="333"/>
      <c r="L612" s="334"/>
      <c r="P612" s="335"/>
    </row>
    <row r="613" ht="15.75" hidden="1" customHeight="1">
      <c r="E613" s="331"/>
      <c r="F613" s="332"/>
      <c r="G613" s="332"/>
      <c r="J613" s="333"/>
      <c r="L613" s="334"/>
      <c r="P613" s="335"/>
    </row>
    <row r="614" ht="15.75" hidden="1" customHeight="1">
      <c r="E614" s="331"/>
      <c r="F614" s="332"/>
      <c r="G614" s="332"/>
      <c r="J614" s="333"/>
      <c r="L614" s="334"/>
      <c r="P614" s="335"/>
    </row>
    <row r="615" ht="15.75" hidden="1" customHeight="1">
      <c r="E615" s="331"/>
      <c r="F615" s="332"/>
      <c r="G615" s="332"/>
      <c r="J615" s="333"/>
      <c r="L615" s="334"/>
      <c r="P615" s="335"/>
    </row>
    <row r="616" ht="15.75" hidden="1" customHeight="1">
      <c r="E616" s="331"/>
      <c r="F616" s="332"/>
      <c r="G616" s="332"/>
      <c r="J616" s="333"/>
      <c r="L616" s="334"/>
      <c r="P616" s="335"/>
    </row>
    <row r="617" ht="15.75" hidden="1" customHeight="1">
      <c r="E617" s="331"/>
      <c r="F617" s="332"/>
      <c r="G617" s="332"/>
      <c r="J617" s="333"/>
      <c r="L617" s="334"/>
      <c r="P617" s="335"/>
    </row>
    <row r="618" ht="15.75" hidden="1" customHeight="1">
      <c r="E618" s="331"/>
      <c r="F618" s="332"/>
      <c r="G618" s="332"/>
      <c r="J618" s="333"/>
      <c r="L618" s="334"/>
      <c r="P618" s="335"/>
    </row>
    <row r="619" ht="15.75" hidden="1" customHeight="1">
      <c r="E619" s="331"/>
      <c r="F619" s="332"/>
      <c r="G619" s="332"/>
      <c r="J619" s="333"/>
      <c r="L619" s="334"/>
      <c r="P619" s="335"/>
    </row>
    <row r="620" ht="15.75" hidden="1" customHeight="1">
      <c r="E620" s="331"/>
      <c r="F620" s="332"/>
      <c r="G620" s="332"/>
      <c r="J620" s="333"/>
      <c r="L620" s="334"/>
      <c r="P620" s="335"/>
    </row>
    <row r="621" ht="15.75" hidden="1" customHeight="1">
      <c r="E621" s="331"/>
      <c r="F621" s="332"/>
      <c r="G621" s="332"/>
      <c r="J621" s="333"/>
      <c r="L621" s="334"/>
      <c r="P621" s="335"/>
    </row>
    <row r="622" ht="15.75" hidden="1" customHeight="1">
      <c r="E622" s="331"/>
      <c r="F622" s="332"/>
      <c r="G622" s="332"/>
      <c r="J622" s="333"/>
      <c r="L622" s="334"/>
      <c r="P622" s="335"/>
    </row>
    <row r="623" ht="15.75" hidden="1" customHeight="1">
      <c r="E623" s="331"/>
      <c r="F623" s="332"/>
      <c r="G623" s="332"/>
      <c r="J623" s="333"/>
      <c r="L623" s="334"/>
      <c r="P623" s="335"/>
    </row>
    <row r="624" ht="15.75" hidden="1" customHeight="1">
      <c r="E624" s="331"/>
      <c r="F624" s="332"/>
      <c r="G624" s="332"/>
      <c r="J624" s="333"/>
      <c r="L624" s="334"/>
      <c r="P624" s="335"/>
    </row>
    <row r="625" ht="15.75" hidden="1" customHeight="1">
      <c r="E625" s="331"/>
      <c r="F625" s="332"/>
      <c r="G625" s="332"/>
      <c r="J625" s="333"/>
      <c r="L625" s="334"/>
      <c r="P625" s="335"/>
    </row>
    <row r="626" ht="15.75" hidden="1" customHeight="1">
      <c r="E626" s="331"/>
      <c r="F626" s="332"/>
      <c r="G626" s="332"/>
      <c r="J626" s="333"/>
      <c r="L626" s="334"/>
      <c r="P626" s="335"/>
    </row>
    <row r="627" ht="15.75" hidden="1" customHeight="1">
      <c r="E627" s="331"/>
      <c r="F627" s="332"/>
      <c r="G627" s="332"/>
      <c r="J627" s="333"/>
      <c r="L627" s="334"/>
      <c r="P627" s="335"/>
    </row>
    <row r="628" ht="15.75" hidden="1" customHeight="1">
      <c r="E628" s="331"/>
      <c r="F628" s="332"/>
      <c r="G628" s="332"/>
      <c r="J628" s="333"/>
      <c r="L628" s="334"/>
      <c r="P628" s="335"/>
    </row>
    <row r="629" ht="15.75" hidden="1" customHeight="1">
      <c r="E629" s="331"/>
      <c r="F629" s="332"/>
      <c r="G629" s="332"/>
      <c r="J629" s="333"/>
      <c r="L629" s="334"/>
      <c r="P629" s="335"/>
    </row>
    <row r="630" ht="15.75" hidden="1" customHeight="1">
      <c r="E630" s="331"/>
      <c r="F630" s="332"/>
      <c r="G630" s="332"/>
      <c r="J630" s="333"/>
      <c r="L630" s="334"/>
      <c r="P630" s="335"/>
    </row>
    <row r="631" ht="15.75" hidden="1" customHeight="1">
      <c r="E631" s="331"/>
      <c r="F631" s="332"/>
      <c r="G631" s="332"/>
      <c r="J631" s="333"/>
      <c r="L631" s="334"/>
      <c r="P631" s="335"/>
    </row>
    <row r="632" ht="15.75" hidden="1" customHeight="1">
      <c r="E632" s="331"/>
      <c r="F632" s="332"/>
      <c r="G632" s="332"/>
      <c r="J632" s="333"/>
      <c r="L632" s="334"/>
      <c r="P632" s="335"/>
    </row>
    <row r="633" ht="15.75" hidden="1" customHeight="1">
      <c r="E633" s="331"/>
      <c r="F633" s="332"/>
      <c r="G633" s="332"/>
      <c r="J633" s="333"/>
      <c r="L633" s="334"/>
      <c r="P633" s="335"/>
    </row>
    <row r="634" ht="15.75" hidden="1" customHeight="1">
      <c r="E634" s="331"/>
      <c r="F634" s="332"/>
      <c r="G634" s="332"/>
      <c r="J634" s="333"/>
      <c r="L634" s="334"/>
      <c r="P634" s="335"/>
    </row>
    <row r="635" ht="15.75" hidden="1" customHeight="1">
      <c r="E635" s="331"/>
      <c r="F635" s="332"/>
      <c r="G635" s="332"/>
      <c r="J635" s="333"/>
      <c r="L635" s="334"/>
      <c r="P635" s="335"/>
    </row>
    <row r="636" ht="15.75" hidden="1" customHeight="1">
      <c r="E636" s="331"/>
      <c r="F636" s="332"/>
      <c r="G636" s="332"/>
      <c r="J636" s="333"/>
      <c r="L636" s="334"/>
      <c r="P636" s="335"/>
    </row>
    <row r="637" ht="15.75" hidden="1" customHeight="1">
      <c r="E637" s="331"/>
      <c r="F637" s="332"/>
      <c r="G637" s="332"/>
      <c r="J637" s="333"/>
      <c r="L637" s="334"/>
      <c r="P637" s="335"/>
    </row>
    <row r="638" ht="15.75" hidden="1" customHeight="1">
      <c r="E638" s="331"/>
      <c r="F638" s="332"/>
      <c r="G638" s="332"/>
      <c r="J638" s="333"/>
      <c r="L638" s="334"/>
      <c r="P638" s="335"/>
    </row>
    <row r="639" ht="15.75" hidden="1" customHeight="1">
      <c r="E639" s="331"/>
      <c r="F639" s="332"/>
      <c r="G639" s="332"/>
      <c r="J639" s="333"/>
      <c r="L639" s="334"/>
      <c r="P639" s="335"/>
    </row>
    <row r="640" ht="15.75" hidden="1" customHeight="1">
      <c r="E640" s="331"/>
      <c r="F640" s="332"/>
      <c r="G640" s="332"/>
      <c r="J640" s="333"/>
      <c r="L640" s="334"/>
      <c r="P640" s="335"/>
    </row>
    <row r="641" ht="15.75" hidden="1" customHeight="1">
      <c r="E641" s="331"/>
      <c r="F641" s="332"/>
      <c r="G641" s="332"/>
      <c r="J641" s="333"/>
      <c r="L641" s="334"/>
      <c r="P641" s="335"/>
    </row>
    <row r="642" ht="15.75" hidden="1" customHeight="1">
      <c r="E642" s="331"/>
      <c r="F642" s="332"/>
      <c r="G642" s="332"/>
      <c r="J642" s="333"/>
      <c r="L642" s="334"/>
      <c r="P642" s="335"/>
    </row>
    <row r="643" ht="15.75" hidden="1" customHeight="1">
      <c r="E643" s="331"/>
      <c r="F643" s="332"/>
      <c r="G643" s="332"/>
      <c r="J643" s="333"/>
      <c r="L643" s="334"/>
      <c r="P643" s="335"/>
    </row>
    <row r="644" ht="15.75" hidden="1" customHeight="1">
      <c r="E644" s="331"/>
      <c r="F644" s="332"/>
      <c r="G644" s="332"/>
      <c r="J644" s="333"/>
      <c r="L644" s="334"/>
      <c r="P644" s="335"/>
    </row>
    <row r="645" ht="15.75" hidden="1" customHeight="1">
      <c r="E645" s="331"/>
      <c r="F645" s="332"/>
      <c r="G645" s="332"/>
      <c r="J645" s="333"/>
      <c r="L645" s="334"/>
      <c r="P645" s="335"/>
    </row>
    <row r="646" ht="15.75" hidden="1" customHeight="1">
      <c r="E646" s="331"/>
      <c r="F646" s="332"/>
      <c r="G646" s="332"/>
      <c r="J646" s="333"/>
      <c r="L646" s="334"/>
      <c r="P646" s="335"/>
    </row>
    <row r="647" ht="15.75" hidden="1" customHeight="1">
      <c r="E647" s="331"/>
      <c r="F647" s="332"/>
      <c r="G647" s="332"/>
      <c r="J647" s="333"/>
      <c r="L647" s="334"/>
      <c r="P647" s="335"/>
    </row>
    <row r="648" ht="15.75" hidden="1" customHeight="1">
      <c r="E648" s="331"/>
      <c r="F648" s="332"/>
      <c r="G648" s="332"/>
      <c r="J648" s="333"/>
      <c r="L648" s="334"/>
      <c r="P648" s="335"/>
    </row>
    <row r="649" ht="15.75" hidden="1" customHeight="1">
      <c r="E649" s="331"/>
      <c r="F649" s="332"/>
      <c r="G649" s="332"/>
      <c r="J649" s="333"/>
      <c r="L649" s="334"/>
      <c r="P649" s="335"/>
    </row>
    <row r="650" ht="15.75" hidden="1" customHeight="1">
      <c r="E650" s="331"/>
      <c r="F650" s="332"/>
      <c r="G650" s="332"/>
      <c r="J650" s="333"/>
      <c r="L650" s="334"/>
      <c r="P650" s="335"/>
    </row>
    <row r="651" ht="15.75" hidden="1" customHeight="1">
      <c r="E651" s="331"/>
      <c r="F651" s="332"/>
      <c r="G651" s="332"/>
      <c r="J651" s="333"/>
      <c r="L651" s="334"/>
      <c r="P651" s="335"/>
    </row>
    <row r="652" ht="15.75" hidden="1" customHeight="1">
      <c r="E652" s="331"/>
      <c r="F652" s="332"/>
      <c r="G652" s="332"/>
      <c r="J652" s="333"/>
      <c r="L652" s="334"/>
      <c r="P652" s="335"/>
    </row>
    <row r="653" ht="15.75" hidden="1" customHeight="1">
      <c r="E653" s="331"/>
      <c r="F653" s="332"/>
      <c r="G653" s="332"/>
      <c r="J653" s="333"/>
      <c r="L653" s="334"/>
      <c r="P653" s="335"/>
    </row>
    <row r="654" ht="15.75" hidden="1" customHeight="1">
      <c r="E654" s="331"/>
      <c r="F654" s="332"/>
      <c r="G654" s="332"/>
      <c r="J654" s="333"/>
      <c r="L654" s="334"/>
      <c r="P654" s="335"/>
    </row>
    <row r="655" ht="15.75" hidden="1" customHeight="1">
      <c r="E655" s="331"/>
      <c r="F655" s="332"/>
      <c r="G655" s="332"/>
      <c r="J655" s="333"/>
      <c r="L655" s="334"/>
      <c r="P655" s="335"/>
    </row>
    <row r="656" ht="15.75" hidden="1" customHeight="1">
      <c r="E656" s="331"/>
      <c r="F656" s="332"/>
      <c r="G656" s="332"/>
      <c r="J656" s="333"/>
      <c r="L656" s="334"/>
      <c r="P656" s="335"/>
    </row>
    <row r="657" ht="15.75" hidden="1" customHeight="1">
      <c r="E657" s="331"/>
      <c r="F657" s="332"/>
      <c r="G657" s="332"/>
      <c r="J657" s="333"/>
      <c r="L657" s="334"/>
      <c r="P657" s="335"/>
    </row>
    <row r="658" ht="15.75" hidden="1" customHeight="1">
      <c r="E658" s="331"/>
      <c r="F658" s="332"/>
      <c r="G658" s="332"/>
      <c r="J658" s="333"/>
      <c r="L658" s="334"/>
      <c r="P658" s="335"/>
    </row>
    <row r="659" ht="15.75" hidden="1" customHeight="1">
      <c r="E659" s="331"/>
      <c r="F659" s="332"/>
      <c r="G659" s="332"/>
      <c r="J659" s="333"/>
      <c r="L659" s="334"/>
      <c r="P659" s="335"/>
    </row>
    <row r="660" ht="15.75" hidden="1" customHeight="1">
      <c r="E660" s="331"/>
      <c r="F660" s="332"/>
      <c r="G660" s="332"/>
      <c r="J660" s="333"/>
      <c r="L660" s="334"/>
      <c r="P660" s="335"/>
    </row>
    <row r="661" ht="15.75" hidden="1" customHeight="1">
      <c r="E661" s="331"/>
      <c r="F661" s="332"/>
      <c r="G661" s="332"/>
      <c r="J661" s="333"/>
      <c r="L661" s="334"/>
      <c r="P661" s="335"/>
    </row>
    <row r="662" ht="15.75" hidden="1" customHeight="1">
      <c r="E662" s="331"/>
      <c r="F662" s="332"/>
      <c r="G662" s="332"/>
      <c r="J662" s="333"/>
      <c r="L662" s="334"/>
      <c r="P662" s="335"/>
    </row>
    <row r="663" ht="15.75" hidden="1" customHeight="1">
      <c r="E663" s="331"/>
      <c r="F663" s="332"/>
      <c r="G663" s="332"/>
      <c r="J663" s="333"/>
      <c r="L663" s="334"/>
      <c r="P663" s="335"/>
    </row>
    <row r="664" ht="15.75" hidden="1" customHeight="1">
      <c r="E664" s="331"/>
      <c r="F664" s="332"/>
      <c r="G664" s="332"/>
      <c r="J664" s="333"/>
      <c r="L664" s="334"/>
      <c r="P664" s="335"/>
    </row>
    <row r="665" ht="15.75" hidden="1" customHeight="1">
      <c r="E665" s="331"/>
      <c r="F665" s="332"/>
      <c r="G665" s="332"/>
      <c r="J665" s="333"/>
      <c r="L665" s="334"/>
      <c r="P665" s="335"/>
    </row>
    <row r="666" ht="15.75" hidden="1" customHeight="1">
      <c r="E666" s="331"/>
      <c r="F666" s="332"/>
      <c r="G666" s="332"/>
      <c r="J666" s="333"/>
      <c r="L666" s="334"/>
      <c r="P666" s="335"/>
    </row>
    <row r="667" ht="15.75" hidden="1" customHeight="1">
      <c r="E667" s="331"/>
      <c r="F667" s="332"/>
      <c r="G667" s="332"/>
      <c r="J667" s="333"/>
      <c r="L667" s="334"/>
      <c r="P667" s="335"/>
    </row>
    <row r="668" ht="15.75" hidden="1" customHeight="1">
      <c r="E668" s="331"/>
      <c r="F668" s="332"/>
      <c r="G668" s="332"/>
      <c r="J668" s="333"/>
      <c r="L668" s="334"/>
      <c r="P668" s="335"/>
    </row>
    <row r="669" ht="15.75" hidden="1" customHeight="1">
      <c r="E669" s="331"/>
      <c r="F669" s="332"/>
      <c r="G669" s="332"/>
      <c r="J669" s="333"/>
      <c r="L669" s="334"/>
      <c r="P669" s="335"/>
    </row>
    <row r="670" ht="15.75" hidden="1" customHeight="1">
      <c r="E670" s="331"/>
      <c r="F670" s="332"/>
      <c r="G670" s="332"/>
      <c r="J670" s="333"/>
      <c r="L670" s="334"/>
      <c r="P670" s="335"/>
    </row>
    <row r="671" ht="15.75" hidden="1" customHeight="1">
      <c r="E671" s="331"/>
      <c r="F671" s="332"/>
      <c r="G671" s="332"/>
      <c r="J671" s="333"/>
      <c r="L671" s="334"/>
      <c r="P671" s="335"/>
    </row>
    <row r="672" ht="15.75" hidden="1" customHeight="1">
      <c r="E672" s="331"/>
      <c r="F672" s="332"/>
      <c r="G672" s="332"/>
      <c r="J672" s="333"/>
      <c r="L672" s="334"/>
      <c r="P672" s="335"/>
    </row>
    <row r="673" ht="15.75" hidden="1" customHeight="1">
      <c r="E673" s="331"/>
      <c r="F673" s="332"/>
      <c r="G673" s="332"/>
      <c r="J673" s="333"/>
      <c r="L673" s="334"/>
      <c r="P673" s="335"/>
    </row>
    <row r="674" ht="15.75" hidden="1" customHeight="1">
      <c r="E674" s="331"/>
      <c r="F674" s="332"/>
      <c r="G674" s="332"/>
      <c r="J674" s="333"/>
      <c r="L674" s="334"/>
      <c r="P674" s="335"/>
    </row>
    <row r="675" ht="15.75" hidden="1" customHeight="1">
      <c r="E675" s="331"/>
      <c r="F675" s="332"/>
      <c r="G675" s="332"/>
      <c r="J675" s="333"/>
      <c r="L675" s="334"/>
      <c r="P675" s="335"/>
    </row>
    <row r="676" ht="15.75" hidden="1" customHeight="1">
      <c r="E676" s="331"/>
      <c r="F676" s="332"/>
      <c r="G676" s="332"/>
      <c r="J676" s="333"/>
      <c r="L676" s="334"/>
      <c r="P676" s="335"/>
    </row>
    <row r="677" ht="15.75" hidden="1" customHeight="1">
      <c r="E677" s="331"/>
      <c r="F677" s="332"/>
      <c r="G677" s="332"/>
      <c r="J677" s="333"/>
      <c r="L677" s="334"/>
      <c r="P677" s="335"/>
    </row>
    <row r="678" ht="15.75" hidden="1" customHeight="1">
      <c r="E678" s="331"/>
      <c r="F678" s="332"/>
      <c r="G678" s="332"/>
      <c r="J678" s="333"/>
      <c r="L678" s="334"/>
      <c r="P678" s="335"/>
    </row>
    <row r="679" ht="15.75" hidden="1" customHeight="1">
      <c r="E679" s="331"/>
      <c r="F679" s="332"/>
      <c r="G679" s="332"/>
      <c r="J679" s="333"/>
      <c r="L679" s="334"/>
      <c r="P679" s="335"/>
    </row>
    <row r="680" ht="15.75" hidden="1" customHeight="1">
      <c r="E680" s="331"/>
      <c r="F680" s="332"/>
      <c r="G680" s="332"/>
      <c r="J680" s="333"/>
      <c r="L680" s="334"/>
      <c r="P680" s="335"/>
    </row>
    <row r="681" ht="15.75" hidden="1" customHeight="1">
      <c r="E681" s="331"/>
      <c r="F681" s="332"/>
      <c r="G681" s="332"/>
      <c r="J681" s="333"/>
      <c r="L681" s="334"/>
      <c r="P681" s="335"/>
    </row>
    <row r="682" ht="15.75" hidden="1" customHeight="1">
      <c r="E682" s="331"/>
      <c r="F682" s="332"/>
      <c r="G682" s="332"/>
      <c r="J682" s="333"/>
      <c r="L682" s="334"/>
      <c r="P682" s="335"/>
    </row>
    <row r="683" ht="15.75" hidden="1" customHeight="1">
      <c r="E683" s="331"/>
      <c r="F683" s="332"/>
      <c r="G683" s="332"/>
      <c r="J683" s="333"/>
      <c r="L683" s="334"/>
      <c r="P683" s="335"/>
    </row>
    <row r="684" ht="15.75" hidden="1" customHeight="1">
      <c r="E684" s="331"/>
      <c r="F684" s="332"/>
      <c r="G684" s="332"/>
      <c r="J684" s="333"/>
      <c r="L684" s="334"/>
      <c r="P684" s="335"/>
    </row>
    <row r="685" ht="15.75" hidden="1" customHeight="1">
      <c r="E685" s="331"/>
      <c r="F685" s="332"/>
      <c r="G685" s="332"/>
      <c r="J685" s="333"/>
      <c r="L685" s="334"/>
      <c r="P685" s="335"/>
    </row>
    <row r="686" ht="15.75" hidden="1" customHeight="1">
      <c r="E686" s="331"/>
      <c r="F686" s="332"/>
      <c r="G686" s="332"/>
      <c r="J686" s="333"/>
      <c r="L686" s="334"/>
      <c r="P686" s="335"/>
    </row>
    <row r="687" ht="15.75" hidden="1" customHeight="1">
      <c r="E687" s="331"/>
      <c r="F687" s="332"/>
      <c r="G687" s="332"/>
      <c r="J687" s="333"/>
      <c r="L687" s="334"/>
      <c r="P687" s="335"/>
    </row>
    <row r="688" ht="15.75" hidden="1" customHeight="1">
      <c r="E688" s="331"/>
      <c r="F688" s="332"/>
      <c r="G688" s="332"/>
      <c r="J688" s="333"/>
      <c r="L688" s="334"/>
      <c r="P688" s="335"/>
    </row>
    <row r="689" ht="15.75" hidden="1" customHeight="1">
      <c r="E689" s="331"/>
      <c r="F689" s="332"/>
      <c r="G689" s="332"/>
      <c r="J689" s="333"/>
      <c r="L689" s="334"/>
      <c r="P689" s="335"/>
    </row>
    <row r="690" ht="15.75" hidden="1" customHeight="1">
      <c r="E690" s="331"/>
      <c r="F690" s="332"/>
      <c r="G690" s="332"/>
      <c r="J690" s="333"/>
      <c r="L690" s="334"/>
      <c r="P690" s="335"/>
    </row>
    <row r="691" ht="15.75" hidden="1" customHeight="1">
      <c r="E691" s="331"/>
      <c r="F691" s="332"/>
      <c r="G691" s="332"/>
      <c r="J691" s="333"/>
      <c r="L691" s="334"/>
      <c r="P691" s="335"/>
    </row>
    <row r="692" ht="15.75" hidden="1" customHeight="1">
      <c r="E692" s="331"/>
      <c r="F692" s="332"/>
      <c r="G692" s="332"/>
      <c r="J692" s="333"/>
      <c r="L692" s="334"/>
      <c r="P692" s="335"/>
    </row>
    <row r="693" ht="15.75" hidden="1" customHeight="1">
      <c r="E693" s="331"/>
      <c r="F693" s="332"/>
      <c r="G693" s="332"/>
      <c r="J693" s="333"/>
      <c r="L693" s="334"/>
      <c r="P693" s="335"/>
    </row>
    <row r="694" ht="15.75" hidden="1" customHeight="1">
      <c r="E694" s="331"/>
      <c r="F694" s="332"/>
      <c r="G694" s="332"/>
      <c r="J694" s="333"/>
      <c r="L694" s="334"/>
      <c r="P694" s="335"/>
    </row>
    <row r="695" ht="15.75" hidden="1" customHeight="1">
      <c r="E695" s="331"/>
      <c r="F695" s="332"/>
      <c r="G695" s="332"/>
      <c r="J695" s="333"/>
      <c r="L695" s="334"/>
      <c r="P695" s="335"/>
    </row>
    <row r="696" ht="15.75" hidden="1" customHeight="1">
      <c r="E696" s="331"/>
      <c r="F696" s="332"/>
      <c r="G696" s="332"/>
      <c r="J696" s="333"/>
      <c r="L696" s="334"/>
      <c r="P696" s="335"/>
    </row>
    <row r="697" ht="15.75" hidden="1" customHeight="1">
      <c r="E697" s="331"/>
      <c r="F697" s="332"/>
      <c r="G697" s="332"/>
      <c r="J697" s="333"/>
      <c r="L697" s="334"/>
      <c r="P697" s="335"/>
    </row>
    <row r="698" ht="15.75" hidden="1" customHeight="1">
      <c r="E698" s="331"/>
      <c r="F698" s="332"/>
      <c r="G698" s="332"/>
      <c r="J698" s="333"/>
      <c r="L698" s="334"/>
      <c r="P698" s="335"/>
    </row>
    <row r="699" ht="15.75" hidden="1" customHeight="1">
      <c r="E699" s="331"/>
      <c r="F699" s="332"/>
      <c r="G699" s="332"/>
      <c r="J699" s="333"/>
      <c r="L699" s="334"/>
      <c r="P699" s="335"/>
    </row>
    <row r="700" ht="15.75" hidden="1" customHeight="1">
      <c r="E700" s="331"/>
      <c r="F700" s="332"/>
      <c r="G700" s="332"/>
      <c r="J700" s="333"/>
      <c r="L700" s="334"/>
      <c r="P700" s="335"/>
    </row>
    <row r="701" ht="15.75" hidden="1" customHeight="1">
      <c r="E701" s="331"/>
      <c r="F701" s="332"/>
      <c r="G701" s="332"/>
      <c r="J701" s="333"/>
      <c r="L701" s="334"/>
      <c r="P701" s="335"/>
    </row>
    <row r="702" ht="15.75" hidden="1" customHeight="1">
      <c r="E702" s="331"/>
      <c r="F702" s="332"/>
      <c r="G702" s="332"/>
      <c r="J702" s="333"/>
      <c r="L702" s="334"/>
      <c r="P702" s="335"/>
    </row>
    <row r="703" ht="15.75" hidden="1" customHeight="1">
      <c r="E703" s="331"/>
      <c r="F703" s="332"/>
      <c r="G703" s="332"/>
      <c r="J703" s="333"/>
      <c r="L703" s="334"/>
      <c r="P703" s="335"/>
    </row>
    <row r="704" ht="15.75" hidden="1" customHeight="1">
      <c r="E704" s="331"/>
      <c r="F704" s="332"/>
      <c r="G704" s="332"/>
      <c r="J704" s="333"/>
      <c r="L704" s="334"/>
      <c r="P704" s="335"/>
    </row>
    <row r="705" ht="15.75" hidden="1" customHeight="1">
      <c r="E705" s="331"/>
      <c r="F705" s="332"/>
      <c r="G705" s="332"/>
      <c r="J705" s="333"/>
      <c r="L705" s="334"/>
      <c r="P705" s="335"/>
    </row>
    <row r="706" ht="15.75" hidden="1" customHeight="1">
      <c r="E706" s="331"/>
      <c r="F706" s="332"/>
      <c r="G706" s="332"/>
      <c r="J706" s="333"/>
      <c r="L706" s="334"/>
      <c r="P706" s="335"/>
    </row>
    <row r="707" ht="15.75" hidden="1" customHeight="1">
      <c r="E707" s="331"/>
      <c r="F707" s="332"/>
      <c r="G707" s="332"/>
      <c r="J707" s="333"/>
      <c r="L707" s="334"/>
      <c r="P707" s="335"/>
    </row>
    <row r="708" ht="15.75" hidden="1" customHeight="1">
      <c r="E708" s="331"/>
      <c r="F708" s="332"/>
      <c r="G708" s="332"/>
      <c r="J708" s="333"/>
      <c r="L708" s="334"/>
      <c r="P708" s="335"/>
    </row>
    <row r="709" ht="15.75" hidden="1" customHeight="1">
      <c r="E709" s="331"/>
      <c r="F709" s="332"/>
      <c r="G709" s="332"/>
      <c r="J709" s="333"/>
      <c r="L709" s="334"/>
      <c r="P709" s="335"/>
    </row>
    <row r="710" ht="15.75" hidden="1" customHeight="1">
      <c r="E710" s="331"/>
      <c r="F710" s="332"/>
      <c r="G710" s="332"/>
      <c r="J710" s="333"/>
      <c r="L710" s="334"/>
      <c r="P710" s="335"/>
    </row>
    <row r="711" ht="15.75" hidden="1" customHeight="1">
      <c r="E711" s="331"/>
      <c r="F711" s="332"/>
      <c r="G711" s="332"/>
      <c r="J711" s="333"/>
      <c r="L711" s="334"/>
      <c r="P711" s="335"/>
    </row>
    <row r="712" ht="15.75" hidden="1" customHeight="1">
      <c r="E712" s="331"/>
      <c r="F712" s="332"/>
      <c r="G712" s="332"/>
      <c r="J712" s="333"/>
      <c r="L712" s="334"/>
      <c r="P712" s="335"/>
    </row>
    <row r="713" ht="15.75" hidden="1" customHeight="1">
      <c r="E713" s="331"/>
      <c r="F713" s="332"/>
      <c r="G713" s="332"/>
      <c r="J713" s="333"/>
      <c r="L713" s="334"/>
      <c r="P713" s="335"/>
    </row>
    <row r="714" ht="15.75" hidden="1" customHeight="1">
      <c r="E714" s="331"/>
      <c r="F714" s="332"/>
      <c r="G714" s="332"/>
      <c r="J714" s="333"/>
      <c r="L714" s="334"/>
      <c r="P714" s="335"/>
    </row>
    <row r="715" ht="15.75" hidden="1" customHeight="1">
      <c r="E715" s="331"/>
      <c r="F715" s="332"/>
      <c r="G715" s="332"/>
      <c r="J715" s="333"/>
      <c r="L715" s="334"/>
      <c r="P715" s="335"/>
    </row>
    <row r="716" ht="15.75" hidden="1" customHeight="1">
      <c r="E716" s="331"/>
      <c r="F716" s="332"/>
      <c r="G716" s="332"/>
      <c r="J716" s="333"/>
      <c r="L716" s="334"/>
      <c r="P716" s="335"/>
    </row>
    <row r="717" ht="15.75" hidden="1" customHeight="1">
      <c r="E717" s="331"/>
      <c r="F717" s="332"/>
      <c r="G717" s="332"/>
      <c r="J717" s="333"/>
      <c r="L717" s="334"/>
      <c r="P717" s="335"/>
    </row>
    <row r="718" ht="15.75" hidden="1" customHeight="1">
      <c r="E718" s="331"/>
      <c r="F718" s="332"/>
      <c r="G718" s="332"/>
      <c r="J718" s="333"/>
      <c r="L718" s="334"/>
      <c r="P718" s="335"/>
    </row>
    <row r="719" ht="15.75" hidden="1" customHeight="1">
      <c r="E719" s="331"/>
      <c r="F719" s="332"/>
      <c r="G719" s="332"/>
      <c r="J719" s="333"/>
      <c r="L719" s="334"/>
      <c r="P719" s="335"/>
    </row>
    <row r="720" ht="15.75" hidden="1" customHeight="1">
      <c r="E720" s="331"/>
      <c r="F720" s="332"/>
      <c r="G720" s="332"/>
      <c r="J720" s="333"/>
      <c r="L720" s="334"/>
      <c r="P720" s="335"/>
    </row>
    <row r="721" ht="15.75" hidden="1" customHeight="1">
      <c r="E721" s="331"/>
      <c r="F721" s="332"/>
      <c r="G721" s="332"/>
      <c r="J721" s="333"/>
      <c r="L721" s="334"/>
      <c r="P721" s="335"/>
    </row>
    <row r="722" ht="15.75" hidden="1" customHeight="1">
      <c r="E722" s="331"/>
      <c r="F722" s="332"/>
      <c r="G722" s="332"/>
      <c r="J722" s="333"/>
      <c r="L722" s="334"/>
      <c r="P722" s="335"/>
    </row>
    <row r="723" ht="15.75" hidden="1" customHeight="1">
      <c r="E723" s="331"/>
      <c r="F723" s="332"/>
      <c r="G723" s="332"/>
      <c r="J723" s="333"/>
      <c r="L723" s="334"/>
      <c r="P723" s="335"/>
    </row>
    <row r="724" ht="15.75" hidden="1" customHeight="1">
      <c r="E724" s="331"/>
      <c r="F724" s="332"/>
      <c r="G724" s="332"/>
      <c r="J724" s="333"/>
      <c r="L724" s="334"/>
      <c r="P724" s="335"/>
    </row>
    <row r="725" ht="15.75" hidden="1" customHeight="1">
      <c r="E725" s="331"/>
      <c r="F725" s="332"/>
      <c r="G725" s="332"/>
      <c r="J725" s="333"/>
      <c r="L725" s="334"/>
      <c r="P725" s="335"/>
    </row>
    <row r="726" ht="15.75" hidden="1" customHeight="1">
      <c r="E726" s="331"/>
      <c r="F726" s="332"/>
      <c r="G726" s="332"/>
      <c r="J726" s="333"/>
      <c r="L726" s="334"/>
      <c r="P726" s="335"/>
    </row>
    <row r="727" ht="15.75" hidden="1" customHeight="1">
      <c r="E727" s="331"/>
      <c r="F727" s="332"/>
      <c r="G727" s="332"/>
      <c r="J727" s="333"/>
      <c r="L727" s="334"/>
      <c r="P727" s="335"/>
    </row>
    <row r="728" ht="15.75" hidden="1" customHeight="1">
      <c r="E728" s="331"/>
      <c r="F728" s="332"/>
      <c r="G728" s="332"/>
      <c r="J728" s="333"/>
      <c r="L728" s="334"/>
      <c r="P728" s="335"/>
    </row>
    <row r="729" ht="15.75" hidden="1" customHeight="1">
      <c r="E729" s="331"/>
      <c r="F729" s="332"/>
      <c r="G729" s="332"/>
      <c r="J729" s="333"/>
      <c r="L729" s="334"/>
      <c r="P729" s="335"/>
    </row>
    <row r="730" ht="15.75" hidden="1" customHeight="1">
      <c r="E730" s="331"/>
      <c r="F730" s="332"/>
      <c r="G730" s="332"/>
      <c r="J730" s="333"/>
      <c r="L730" s="334"/>
      <c r="P730" s="335"/>
    </row>
    <row r="731" ht="15.75" hidden="1" customHeight="1">
      <c r="E731" s="331"/>
      <c r="F731" s="332"/>
      <c r="G731" s="332"/>
      <c r="J731" s="333"/>
      <c r="L731" s="334"/>
      <c r="P731" s="335"/>
    </row>
    <row r="732" ht="15.75" hidden="1" customHeight="1">
      <c r="E732" s="331"/>
      <c r="F732" s="332"/>
      <c r="G732" s="332"/>
      <c r="J732" s="333"/>
      <c r="L732" s="334"/>
      <c r="P732" s="335"/>
    </row>
    <row r="733" ht="15.75" hidden="1" customHeight="1">
      <c r="E733" s="331"/>
      <c r="F733" s="332"/>
      <c r="G733" s="332"/>
      <c r="J733" s="333"/>
      <c r="L733" s="334"/>
      <c r="P733" s="335"/>
    </row>
    <row r="734" ht="15.75" hidden="1" customHeight="1">
      <c r="E734" s="331"/>
      <c r="F734" s="332"/>
      <c r="G734" s="332"/>
      <c r="J734" s="333"/>
      <c r="L734" s="334"/>
      <c r="P734" s="335"/>
    </row>
    <row r="735" ht="15.75" hidden="1" customHeight="1">
      <c r="E735" s="331"/>
      <c r="F735" s="332"/>
      <c r="G735" s="332"/>
      <c r="J735" s="333"/>
      <c r="L735" s="334"/>
      <c r="P735" s="335"/>
    </row>
    <row r="736" ht="15.75" hidden="1" customHeight="1">
      <c r="E736" s="331"/>
      <c r="F736" s="332"/>
      <c r="G736" s="332"/>
      <c r="J736" s="333"/>
      <c r="L736" s="334"/>
      <c r="P736" s="335"/>
    </row>
    <row r="737" ht="15.75" hidden="1" customHeight="1">
      <c r="E737" s="331"/>
      <c r="F737" s="332"/>
      <c r="G737" s="332"/>
      <c r="J737" s="333"/>
      <c r="L737" s="334"/>
      <c r="P737" s="335"/>
    </row>
    <row r="738" ht="15.75" hidden="1" customHeight="1">
      <c r="E738" s="331"/>
      <c r="F738" s="332"/>
      <c r="G738" s="332"/>
      <c r="J738" s="333"/>
      <c r="L738" s="334"/>
      <c r="P738" s="335"/>
    </row>
    <row r="739" ht="15.75" hidden="1" customHeight="1">
      <c r="E739" s="331"/>
      <c r="F739" s="332"/>
      <c r="G739" s="332"/>
      <c r="J739" s="333"/>
      <c r="L739" s="334"/>
      <c r="P739" s="335"/>
    </row>
    <row r="740" ht="15.75" hidden="1" customHeight="1">
      <c r="E740" s="331"/>
      <c r="F740" s="332"/>
      <c r="G740" s="332"/>
      <c r="J740" s="333"/>
      <c r="L740" s="334"/>
      <c r="P740" s="335"/>
    </row>
    <row r="741" ht="15.75" hidden="1" customHeight="1">
      <c r="E741" s="331"/>
      <c r="F741" s="332"/>
      <c r="G741" s="332"/>
      <c r="J741" s="333"/>
      <c r="L741" s="334"/>
      <c r="P741" s="335"/>
    </row>
    <row r="742" ht="15.75" hidden="1" customHeight="1">
      <c r="E742" s="331"/>
      <c r="F742" s="332"/>
      <c r="G742" s="332"/>
      <c r="J742" s="333"/>
      <c r="L742" s="334"/>
      <c r="P742" s="335"/>
    </row>
    <row r="743" ht="15.75" hidden="1" customHeight="1">
      <c r="E743" s="331"/>
      <c r="F743" s="332"/>
      <c r="G743" s="332"/>
      <c r="J743" s="333"/>
      <c r="L743" s="334"/>
      <c r="P743" s="335"/>
    </row>
    <row r="744" ht="15.75" hidden="1" customHeight="1">
      <c r="E744" s="331"/>
      <c r="F744" s="332"/>
      <c r="G744" s="332"/>
      <c r="J744" s="333"/>
      <c r="L744" s="334"/>
      <c r="P744" s="335"/>
    </row>
    <row r="745" ht="15.75" hidden="1" customHeight="1">
      <c r="E745" s="331"/>
      <c r="F745" s="332"/>
      <c r="G745" s="332"/>
      <c r="J745" s="333"/>
      <c r="L745" s="334"/>
      <c r="P745" s="335"/>
    </row>
    <row r="746" ht="15.75" hidden="1" customHeight="1">
      <c r="E746" s="331"/>
      <c r="F746" s="332"/>
      <c r="G746" s="332"/>
      <c r="J746" s="333"/>
      <c r="L746" s="334"/>
      <c r="P746" s="335"/>
    </row>
    <row r="747" ht="15.75" hidden="1" customHeight="1">
      <c r="E747" s="331"/>
      <c r="F747" s="332"/>
      <c r="G747" s="332"/>
      <c r="J747" s="333"/>
      <c r="L747" s="334"/>
      <c r="P747" s="335"/>
    </row>
    <row r="748" ht="15.75" hidden="1" customHeight="1">
      <c r="E748" s="331"/>
      <c r="F748" s="332"/>
      <c r="G748" s="332"/>
      <c r="J748" s="333"/>
      <c r="L748" s="334"/>
      <c r="P748" s="335"/>
    </row>
    <row r="749" ht="15.75" hidden="1" customHeight="1">
      <c r="E749" s="331"/>
      <c r="F749" s="332"/>
      <c r="G749" s="332"/>
      <c r="J749" s="333"/>
      <c r="L749" s="334"/>
      <c r="P749" s="335"/>
    </row>
    <row r="750" ht="15.75" hidden="1" customHeight="1">
      <c r="E750" s="331"/>
      <c r="F750" s="332"/>
      <c r="G750" s="332"/>
      <c r="J750" s="333"/>
      <c r="L750" s="334"/>
      <c r="P750" s="335"/>
    </row>
    <row r="751" ht="15.75" hidden="1" customHeight="1">
      <c r="E751" s="331"/>
      <c r="F751" s="332"/>
      <c r="G751" s="332"/>
      <c r="J751" s="333"/>
      <c r="L751" s="334"/>
      <c r="P751" s="335"/>
    </row>
    <row r="752" ht="15.75" hidden="1" customHeight="1">
      <c r="E752" s="331"/>
      <c r="F752" s="332"/>
      <c r="G752" s="332"/>
      <c r="J752" s="333"/>
      <c r="L752" s="334"/>
      <c r="P752" s="335"/>
    </row>
    <row r="753" ht="15.75" hidden="1" customHeight="1">
      <c r="E753" s="331"/>
      <c r="F753" s="332"/>
      <c r="G753" s="332"/>
      <c r="J753" s="333"/>
      <c r="L753" s="334"/>
      <c r="P753" s="335"/>
    </row>
    <row r="754" ht="15.75" hidden="1" customHeight="1">
      <c r="E754" s="331"/>
      <c r="F754" s="332"/>
      <c r="G754" s="332"/>
      <c r="J754" s="333"/>
      <c r="L754" s="334"/>
      <c r="P754" s="335"/>
    </row>
    <row r="755" ht="15.75" hidden="1" customHeight="1">
      <c r="E755" s="331"/>
      <c r="F755" s="332"/>
      <c r="G755" s="332"/>
      <c r="J755" s="333"/>
      <c r="L755" s="334"/>
      <c r="P755" s="335"/>
    </row>
    <row r="756" ht="15.75" hidden="1" customHeight="1">
      <c r="E756" s="331"/>
      <c r="F756" s="332"/>
      <c r="G756" s="332"/>
      <c r="J756" s="333"/>
      <c r="L756" s="334"/>
      <c r="P756" s="335"/>
    </row>
    <row r="757" ht="15.75" hidden="1" customHeight="1">
      <c r="E757" s="331"/>
      <c r="F757" s="332"/>
      <c r="G757" s="332"/>
      <c r="J757" s="333"/>
      <c r="L757" s="334"/>
      <c r="P757" s="335"/>
    </row>
    <row r="758" ht="15.75" hidden="1" customHeight="1">
      <c r="E758" s="331"/>
      <c r="F758" s="332"/>
      <c r="G758" s="332"/>
      <c r="J758" s="333"/>
      <c r="L758" s="334"/>
      <c r="P758" s="335"/>
    </row>
    <row r="759" ht="15.75" hidden="1" customHeight="1">
      <c r="E759" s="331"/>
      <c r="F759" s="332"/>
      <c r="G759" s="332"/>
      <c r="J759" s="333"/>
      <c r="L759" s="334"/>
      <c r="P759" s="335"/>
    </row>
    <row r="760" ht="15.75" hidden="1" customHeight="1">
      <c r="E760" s="331"/>
      <c r="F760" s="332"/>
      <c r="G760" s="332"/>
      <c r="J760" s="333"/>
      <c r="L760" s="334"/>
      <c r="P760" s="335"/>
    </row>
    <row r="761" ht="15.75" hidden="1" customHeight="1">
      <c r="E761" s="331"/>
      <c r="F761" s="332"/>
      <c r="G761" s="332"/>
      <c r="J761" s="333"/>
      <c r="L761" s="334"/>
      <c r="P761" s="335"/>
    </row>
    <row r="762" ht="15.75" hidden="1" customHeight="1">
      <c r="E762" s="331"/>
      <c r="F762" s="332"/>
      <c r="G762" s="332"/>
      <c r="J762" s="333"/>
      <c r="L762" s="334"/>
      <c r="P762" s="335"/>
    </row>
    <row r="763" ht="15.75" hidden="1" customHeight="1">
      <c r="E763" s="331"/>
      <c r="F763" s="332"/>
      <c r="G763" s="332"/>
      <c r="J763" s="333"/>
      <c r="L763" s="334"/>
      <c r="P763" s="335"/>
    </row>
    <row r="764" ht="15.75" hidden="1" customHeight="1">
      <c r="E764" s="331"/>
      <c r="F764" s="332"/>
      <c r="G764" s="332"/>
      <c r="J764" s="333"/>
      <c r="L764" s="334"/>
      <c r="P764" s="335"/>
    </row>
    <row r="765" ht="15.75" hidden="1" customHeight="1">
      <c r="E765" s="331"/>
      <c r="F765" s="332"/>
      <c r="G765" s="332"/>
      <c r="J765" s="333"/>
      <c r="L765" s="334"/>
      <c r="P765" s="335"/>
    </row>
    <row r="766" ht="15.75" hidden="1" customHeight="1">
      <c r="E766" s="331"/>
      <c r="F766" s="332"/>
      <c r="G766" s="332"/>
      <c r="J766" s="333"/>
      <c r="L766" s="334"/>
      <c r="P766" s="335"/>
    </row>
    <row r="767" ht="15.75" hidden="1" customHeight="1">
      <c r="E767" s="331"/>
      <c r="F767" s="332"/>
      <c r="G767" s="332"/>
      <c r="J767" s="333"/>
      <c r="L767" s="334"/>
      <c r="P767" s="335"/>
    </row>
    <row r="768" ht="15.75" hidden="1" customHeight="1">
      <c r="E768" s="331"/>
      <c r="F768" s="332"/>
      <c r="G768" s="332"/>
      <c r="J768" s="333"/>
      <c r="L768" s="334"/>
      <c r="P768" s="335"/>
    </row>
    <row r="769" ht="15.75" hidden="1" customHeight="1">
      <c r="E769" s="331"/>
      <c r="F769" s="332"/>
      <c r="G769" s="332"/>
      <c r="J769" s="333"/>
      <c r="L769" s="334"/>
      <c r="P769" s="335"/>
    </row>
    <row r="770" ht="15.75" hidden="1" customHeight="1">
      <c r="E770" s="331"/>
      <c r="F770" s="332"/>
      <c r="G770" s="332"/>
      <c r="J770" s="333"/>
      <c r="L770" s="334"/>
      <c r="P770" s="335"/>
    </row>
    <row r="771" ht="15.75" hidden="1" customHeight="1">
      <c r="E771" s="331"/>
      <c r="F771" s="332"/>
      <c r="G771" s="332"/>
      <c r="J771" s="333"/>
      <c r="L771" s="334"/>
      <c r="P771" s="335"/>
    </row>
    <row r="772" ht="15.75" hidden="1" customHeight="1">
      <c r="E772" s="331"/>
      <c r="F772" s="332"/>
      <c r="G772" s="332"/>
      <c r="J772" s="333"/>
      <c r="L772" s="334"/>
      <c r="P772" s="335"/>
    </row>
    <row r="773" ht="15.75" hidden="1" customHeight="1">
      <c r="E773" s="331"/>
      <c r="F773" s="332"/>
      <c r="G773" s="332"/>
      <c r="J773" s="333"/>
      <c r="L773" s="334"/>
      <c r="P773" s="335"/>
    </row>
    <row r="774" ht="15.75" hidden="1" customHeight="1">
      <c r="E774" s="331"/>
      <c r="F774" s="332"/>
      <c r="G774" s="332"/>
      <c r="J774" s="333"/>
      <c r="L774" s="334"/>
      <c r="P774" s="335"/>
    </row>
    <row r="775" ht="15.75" hidden="1" customHeight="1">
      <c r="E775" s="331"/>
      <c r="F775" s="332"/>
      <c r="G775" s="332"/>
      <c r="J775" s="333"/>
      <c r="L775" s="334"/>
      <c r="P775" s="335"/>
    </row>
    <row r="776" ht="15.75" hidden="1" customHeight="1">
      <c r="E776" s="331"/>
      <c r="F776" s="332"/>
      <c r="G776" s="332"/>
      <c r="J776" s="333"/>
      <c r="L776" s="334"/>
      <c r="P776" s="335"/>
    </row>
    <row r="777" ht="15.75" hidden="1" customHeight="1">
      <c r="E777" s="331"/>
      <c r="F777" s="332"/>
      <c r="G777" s="332"/>
      <c r="J777" s="333"/>
      <c r="L777" s="334"/>
      <c r="P777" s="335"/>
    </row>
    <row r="778" ht="15.75" hidden="1" customHeight="1">
      <c r="E778" s="331"/>
      <c r="F778" s="332"/>
      <c r="G778" s="332"/>
      <c r="J778" s="333"/>
      <c r="L778" s="334"/>
      <c r="P778" s="335"/>
    </row>
    <row r="779" ht="15.75" hidden="1" customHeight="1">
      <c r="E779" s="331"/>
      <c r="F779" s="332"/>
      <c r="G779" s="332"/>
      <c r="J779" s="333"/>
      <c r="L779" s="334"/>
      <c r="P779" s="335"/>
    </row>
    <row r="780" ht="15.75" hidden="1" customHeight="1">
      <c r="E780" s="331"/>
      <c r="F780" s="332"/>
      <c r="G780" s="332"/>
      <c r="J780" s="333"/>
      <c r="L780" s="334"/>
      <c r="P780" s="335"/>
    </row>
    <row r="781" ht="15.75" hidden="1" customHeight="1">
      <c r="E781" s="331"/>
      <c r="F781" s="332"/>
      <c r="G781" s="332"/>
      <c r="J781" s="333"/>
      <c r="L781" s="334"/>
      <c r="P781" s="335"/>
    </row>
    <row r="782" ht="15.75" hidden="1" customHeight="1">
      <c r="E782" s="331"/>
      <c r="F782" s="332"/>
      <c r="G782" s="332"/>
      <c r="J782" s="333"/>
      <c r="L782" s="334"/>
      <c r="P782" s="335"/>
    </row>
    <row r="783" ht="15.75" hidden="1" customHeight="1">
      <c r="E783" s="331"/>
      <c r="F783" s="332"/>
      <c r="G783" s="332"/>
      <c r="J783" s="333"/>
      <c r="L783" s="334"/>
      <c r="P783" s="335"/>
    </row>
    <row r="784" ht="15.75" hidden="1" customHeight="1">
      <c r="E784" s="331"/>
      <c r="F784" s="332"/>
      <c r="G784" s="332"/>
      <c r="J784" s="333"/>
      <c r="L784" s="334"/>
      <c r="P784" s="335"/>
    </row>
    <row r="785" ht="15.75" hidden="1" customHeight="1">
      <c r="E785" s="331"/>
      <c r="F785" s="332"/>
      <c r="G785" s="332"/>
      <c r="J785" s="333"/>
      <c r="L785" s="334"/>
      <c r="P785" s="335"/>
    </row>
    <row r="786" ht="15.75" hidden="1" customHeight="1">
      <c r="E786" s="331"/>
      <c r="F786" s="332"/>
      <c r="G786" s="332"/>
      <c r="J786" s="333"/>
      <c r="L786" s="334"/>
      <c r="P786" s="335"/>
    </row>
    <row r="787" ht="15.75" hidden="1" customHeight="1">
      <c r="E787" s="331"/>
      <c r="F787" s="332"/>
      <c r="G787" s="332"/>
      <c r="J787" s="333"/>
      <c r="L787" s="334"/>
      <c r="P787" s="335"/>
    </row>
    <row r="788" ht="15.75" hidden="1" customHeight="1">
      <c r="E788" s="331"/>
      <c r="F788" s="332"/>
      <c r="G788" s="332"/>
      <c r="J788" s="333"/>
      <c r="L788" s="334"/>
      <c r="P788" s="335"/>
    </row>
    <row r="789" ht="15.75" hidden="1" customHeight="1">
      <c r="E789" s="331"/>
      <c r="F789" s="332"/>
      <c r="G789" s="332"/>
      <c r="J789" s="333"/>
      <c r="L789" s="334"/>
      <c r="P789" s="335"/>
    </row>
    <row r="790" ht="15.75" hidden="1" customHeight="1">
      <c r="E790" s="331"/>
      <c r="F790" s="332"/>
      <c r="G790" s="332"/>
      <c r="J790" s="333"/>
      <c r="L790" s="334"/>
      <c r="P790" s="335"/>
    </row>
    <row r="791" ht="15.75" hidden="1" customHeight="1">
      <c r="E791" s="331"/>
      <c r="F791" s="332"/>
      <c r="G791" s="332"/>
      <c r="J791" s="333"/>
      <c r="L791" s="334"/>
      <c r="P791" s="335"/>
    </row>
    <row r="792" ht="15.75" hidden="1" customHeight="1">
      <c r="E792" s="331"/>
      <c r="F792" s="332"/>
      <c r="G792" s="332"/>
      <c r="J792" s="333"/>
      <c r="L792" s="334"/>
      <c r="P792" s="335"/>
    </row>
    <row r="793" ht="15.75" hidden="1" customHeight="1">
      <c r="E793" s="331"/>
      <c r="F793" s="332"/>
      <c r="G793" s="332"/>
      <c r="J793" s="333"/>
      <c r="L793" s="334"/>
      <c r="P793" s="335"/>
    </row>
    <row r="794" ht="15.75" hidden="1" customHeight="1">
      <c r="E794" s="331"/>
      <c r="F794" s="332"/>
      <c r="G794" s="332"/>
      <c r="J794" s="333"/>
      <c r="L794" s="334"/>
      <c r="P794" s="335"/>
    </row>
    <row r="795" ht="15.75" hidden="1" customHeight="1">
      <c r="E795" s="331"/>
      <c r="F795" s="332"/>
      <c r="G795" s="332"/>
      <c r="J795" s="333"/>
      <c r="L795" s="334"/>
      <c r="P795" s="335"/>
    </row>
    <row r="796" ht="15.75" hidden="1" customHeight="1">
      <c r="E796" s="331"/>
      <c r="F796" s="332"/>
      <c r="G796" s="332"/>
      <c r="J796" s="333"/>
      <c r="L796" s="334"/>
      <c r="P796" s="335"/>
    </row>
    <row r="797" ht="15.75" hidden="1" customHeight="1">
      <c r="E797" s="331"/>
      <c r="F797" s="332"/>
      <c r="G797" s="332"/>
      <c r="J797" s="333"/>
      <c r="L797" s="334"/>
      <c r="P797" s="335"/>
    </row>
    <row r="798" ht="15.75" hidden="1" customHeight="1">
      <c r="E798" s="331"/>
      <c r="F798" s="332"/>
      <c r="G798" s="332"/>
      <c r="J798" s="333"/>
      <c r="L798" s="334"/>
      <c r="P798" s="335"/>
    </row>
    <row r="799" ht="15.75" hidden="1" customHeight="1">
      <c r="E799" s="331"/>
      <c r="F799" s="332"/>
      <c r="G799" s="332"/>
      <c r="J799" s="333"/>
      <c r="L799" s="334"/>
      <c r="P799" s="335"/>
    </row>
    <row r="800" ht="15.75" hidden="1" customHeight="1">
      <c r="E800" s="331"/>
      <c r="F800" s="332"/>
      <c r="G800" s="332"/>
      <c r="J800" s="333"/>
      <c r="L800" s="334"/>
      <c r="P800" s="335"/>
    </row>
    <row r="801" ht="15.75" hidden="1" customHeight="1">
      <c r="E801" s="331"/>
      <c r="F801" s="332"/>
      <c r="G801" s="332"/>
      <c r="J801" s="333"/>
      <c r="L801" s="334"/>
      <c r="P801" s="335"/>
    </row>
    <row r="802" ht="15.75" hidden="1" customHeight="1">
      <c r="E802" s="331"/>
      <c r="F802" s="332"/>
      <c r="G802" s="332"/>
      <c r="J802" s="333"/>
      <c r="L802" s="334"/>
      <c r="P802" s="335"/>
    </row>
    <row r="803" ht="15.75" hidden="1" customHeight="1">
      <c r="E803" s="331"/>
      <c r="F803" s="332"/>
      <c r="G803" s="332"/>
      <c r="J803" s="333"/>
      <c r="L803" s="334"/>
      <c r="P803" s="335"/>
    </row>
    <row r="804" ht="15.75" hidden="1" customHeight="1">
      <c r="E804" s="331"/>
      <c r="F804" s="332"/>
      <c r="G804" s="332"/>
      <c r="J804" s="333"/>
      <c r="L804" s="334"/>
      <c r="P804" s="335"/>
    </row>
    <row r="805" ht="15.75" hidden="1" customHeight="1">
      <c r="E805" s="331"/>
      <c r="F805" s="332"/>
      <c r="G805" s="332"/>
      <c r="J805" s="333"/>
      <c r="L805" s="334"/>
      <c r="P805" s="335"/>
    </row>
    <row r="806" ht="15.75" hidden="1" customHeight="1">
      <c r="E806" s="331"/>
      <c r="F806" s="332"/>
      <c r="G806" s="332"/>
      <c r="J806" s="333"/>
      <c r="L806" s="334"/>
      <c r="P806" s="335"/>
    </row>
    <row r="807" ht="15.75" hidden="1" customHeight="1">
      <c r="E807" s="331"/>
      <c r="F807" s="332"/>
      <c r="G807" s="332"/>
      <c r="J807" s="333"/>
      <c r="L807" s="334"/>
      <c r="P807" s="335"/>
    </row>
    <row r="808" ht="15.75" hidden="1" customHeight="1">
      <c r="E808" s="331"/>
      <c r="F808" s="332"/>
      <c r="G808" s="332"/>
      <c r="J808" s="333"/>
      <c r="L808" s="334"/>
      <c r="P808" s="335"/>
    </row>
    <row r="809" ht="15.75" hidden="1" customHeight="1">
      <c r="E809" s="331"/>
      <c r="F809" s="332"/>
      <c r="G809" s="332"/>
      <c r="J809" s="333"/>
      <c r="L809" s="334"/>
      <c r="P809" s="335"/>
    </row>
    <row r="810" ht="15.75" hidden="1" customHeight="1">
      <c r="E810" s="331"/>
      <c r="F810" s="332"/>
      <c r="G810" s="332"/>
      <c r="J810" s="333"/>
      <c r="L810" s="334"/>
      <c r="P810" s="335"/>
    </row>
    <row r="811" ht="15.75" hidden="1" customHeight="1">
      <c r="E811" s="331"/>
      <c r="F811" s="332"/>
      <c r="G811" s="332"/>
      <c r="J811" s="333"/>
      <c r="L811" s="334"/>
      <c r="P811" s="335"/>
    </row>
    <row r="812" ht="15.75" hidden="1" customHeight="1">
      <c r="E812" s="331"/>
      <c r="F812" s="332"/>
      <c r="G812" s="332"/>
      <c r="J812" s="333"/>
      <c r="L812" s="334"/>
      <c r="P812" s="335"/>
    </row>
    <row r="813" ht="15.75" hidden="1" customHeight="1">
      <c r="E813" s="331"/>
      <c r="F813" s="332"/>
      <c r="G813" s="332"/>
      <c r="J813" s="333"/>
      <c r="L813" s="334"/>
      <c r="P813" s="335"/>
    </row>
    <row r="814" ht="15.75" hidden="1" customHeight="1">
      <c r="E814" s="331"/>
      <c r="F814" s="332"/>
      <c r="G814" s="332"/>
      <c r="J814" s="333"/>
      <c r="L814" s="334"/>
      <c r="P814" s="335"/>
    </row>
    <row r="815" ht="15.75" hidden="1" customHeight="1">
      <c r="E815" s="331"/>
      <c r="F815" s="332"/>
      <c r="G815" s="332"/>
      <c r="J815" s="333"/>
      <c r="L815" s="334"/>
      <c r="P815" s="335"/>
    </row>
    <row r="816" ht="15.75" hidden="1" customHeight="1">
      <c r="E816" s="331"/>
      <c r="F816" s="332"/>
      <c r="G816" s="332"/>
      <c r="J816" s="333"/>
      <c r="L816" s="334"/>
      <c r="P816" s="335"/>
    </row>
    <row r="817" ht="15.75" hidden="1" customHeight="1">
      <c r="E817" s="331"/>
      <c r="F817" s="332"/>
      <c r="G817" s="332"/>
      <c r="J817" s="333"/>
      <c r="L817" s="334"/>
      <c r="P817" s="335"/>
    </row>
    <row r="818" ht="15.75" customHeight="1">
      <c r="E818" s="331"/>
      <c r="F818" s="332"/>
      <c r="G818" s="332"/>
      <c r="J818" s="333"/>
      <c r="L818" s="334"/>
      <c r="P818" s="335"/>
    </row>
    <row r="819" ht="15.75" customHeight="1">
      <c r="E819" s="331"/>
      <c r="F819" s="332"/>
      <c r="G819" s="332"/>
      <c r="J819" s="333"/>
      <c r="L819" s="334"/>
      <c r="P819" s="335"/>
    </row>
    <row r="820" ht="15.75" customHeight="1">
      <c r="E820" s="331"/>
      <c r="F820" s="332"/>
      <c r="G820" s="332"/>
      <c r="J820" s="333"/>
      <c r="L820" s="334"/>
      <c r="P820" s="335"/>
    </row>
    <row r="821" ht="15.75" customHeight="1">
      <c r="E821" s="331"/>
      <c r="F821" s="332"/>
      <c r="G821" s="332"/>
      <c r="J821" s="333"/>
      <c r="L821" s="334"/>
      <c r="P821" s="335"/>
    </row>
    <row r="822" ht="15.75" customHeight="1">
      <c r="E822" s="331"/>
      <c r="F822" s="332"/>
      <c r="G822" s="332"/>
      <c r="J822" s="333"/>
      <c r="L822" s="334"/>
      <c r="P822" s="335"/>
    </row>
    <row r="823" ht="15.75" customHeight="1">
      <c r="E823" s="331"/>
      <c r="F823" s="332"/>
      <c r="G823" s="332"/>
      <c r="J823" s="333"/>
      <c r="L823" s="334"/>
      <c r="P823" s="335"/>
    </row>
    <row r="824" ht="15.75" customHeight="1">
      <c r="E824" s="331"/>
      <c r="F824" s="332"/>
      <c r="G824" s="332"/>
      <c r="J824" s="333"/>
      <c r="L824" s="334"/>
      <c r="P824" s="335"/>
    </row>
    <row r="825" ht="15.75" customHeight="1">
      <c r="E825" s="331"/>
      <c r="F825" s="332"/>
      <c r="G825" s="332"/>
      <c r="J825" s="333"/>
      <c r="L825" s="334"/>
      <c r="P825" s="335"/>
    </row>
    <row r="826" ht="15.75" customHeight="1">
      <c r="E826" s="331"/>
      <c r="F826" s="332"/>
      <c r="G826" s="332"/>
      <c r="J826" s="333"/>
      <c r="L826" s="334"/>
      <c r="P826" s="335"/>
    </row>
    <row r="827" ht="15.75" customHeight="1">
      <c r="E827" s="331"/>
      <c r="F827" s="332"/>
      <c r="G827" s="332"/>
      <c r="J827" s="333"/>
      <c r="L827" s="334"/>
      <c r="P827" s="335"/>
    </row>
    <row r="828" ht="15.75" customHeight="1">
      <c r="E828" s="331"/>
      <c r="F828" s="332"/>
      <c r="G828" s="332"/>
      <c r="J828" s="333"/>
      <c r="L828" s="334"/>
      <c r="P828" s="335"/>
    </row>
    <row r="829" ht="15.75" customHeight="1">
      <c r="E829" s="331"/>
      <c r="F829" s="332"/>
      <c r="G829" s="332"/>
      <c r="J829" s="333"/>
      <c r="L829" s="334"/>
      <c r="P829" s="335"/>
    </row>
    <row r="830" ht="15.75" customHeight="1">
      <c r="E830" s="331"/>
      <c r="F830" s="332"/>
      <c r="G830" s="332"/>
      <c r="J830" s="333"/>
      <c r="L830" s="334"/>
      <c r="P830" s="335"/>
    </row>
    <row r="831" ht="15.75" customHeight="1">
      <c r="E831" s="331"/>
      <c r="F831" s="332"/>
      <c r="G831" s="332"/>
      <c r="J831" s="333"/>
      <c r="L831" s="334"/>
      <c r="P831" s="335"/>
    </row>
    <row r="832" ht="15.75" customHeight="1">
      <c r="E832" s="331"/>
      <c r="F832" s="332"/>
      <c r="G832" s="332"/>
      <c r="J832" s="333"/>
      <c r="L832" s="334"/>
      <c r="P832" s="335"/>
    </row>
    <row r="833" ht="15.75" customHeight="1">
      <c r="E833" s="331"/>
      <c r="F833" s="332"/>
      <c r="G833" s="332"/>
      <c r="J833" s="333"/>
      <c r="L833" s="334"/>
      <c r="P833" s="335"/>
    </row>
    <row r="834" ht="15.75" customHeight="1">
      <c r="E834" s="331"/>
      <c r="F834" s="332"/>
      <c r="G834" s="332"/>
      <c r="J834" s="333"/>
      <c r="L834" s="334"/>
      <c r="P834" s="335"/>
    </row>
    <row r="835" ht="15.75" customHeight="1">
      <c r="E835" s="331"/>
      <c r="F835" s="332"/>
      <c r="G835" s="332"/>
      <c r="J835" s="333"/>
      <c r="L835" s="334"/>
      <c r="P835" s="335"/>
    </row>
    <row r="836" ht="15.75" customHeight="1">
      <c r="E836" s="331"/>
      <c r="F836" s="332"/>
      <c r="G836" s="332"/>
      <c r="J836" s="333"/>
      <c r="L836" s="334"/>
      <c r="P836" s="335"/>
    </row>
    <row r="837" ht="15.75" customHeight="1">
      <c r="E837" s="331"/>
      <c r="F837" s="332"/>
      <c r="G837" s="332"/>
      <c r="J837" s="333"/>
      <c r="L837" s="334"/>
      <c r="P837" s="335"/>
    </row>
    <row r="838" ht="15.75" customHeight="1">
      <c r="E838" s="331"/>
      <c r="F838" s="332"/>
      <c r="G838" s="332"/>
      <c r="J838" s="333"/>
      <c r="L838" s="334"/>
      <c r="P838" s="335"/>
    </row>
    <row r="839" ht="15.75" customHeight="1">
      <c r="E839" s="331"/>
      <c r="F839" s="332"/>
      <c r="G839" s="332"/>
      <c r="J839" s="333"/>
      <c r="L839" s="334"/>
      <c r="P839" s="335"/>
    </row>
    <row r="840" ht="15.75" customHeight="1">
      <c r="E840" s="331"/>
      <c r="F840" s="332"/>
      <c r="G840" s="332"/>
      <c r="J840" s="333"/>
      <c r="L840" s="334"/>
      <c r="P840" s="335"/>
    </row>
    <row r="841" ht="15.75" customHeight="1">
      <c r="E841" s="331"/>
      <c r="F841" s="332"/>
      <c r="G841" s="332"/>
      <c r="J841" s="333"/>
      <c r="L841" s="334"/>
      <c r="P841" s="335"/>
    </row>
    <row r="842" ht="15.75" customHeight="1">
      <c r="E842" s="331"/>
      <c r="F842" s="332"/>
      <c r="G842" s="332"/>
      <c r="J842" s="333"/>
      <c r="L842" s="334"/>
      <c r="P842" s="335"/>
    </row>
    <row r="843" ht="15.75" customHeight="1">
      <c r="E843" s="331"/>
      <c r="F843" s="332"/>
      <c r="G843" s="332"/>
      <c r="J843" s="333"/>
      <c r="L843" s="334"/>
      <c r="P843" s="335"/>
    </row>
    <row r="844" ht="15.75" customHeight="1">
      <c r="E844" s="331"/>
      <c r="F844" s="332"/>
      <c r="G844" s="332"/>
      <c r="J844" s="333"/>
      <c r="L844" s="334"/>
      <c r="P844" s="335"/>
    </row>
    <row r="845" ht="15.75" customHeight="1">
      <c r="E845" s="331"/>
      <c r="F845" s="332"/>
      <c r="G845" s="332"/>
      <c r="J845" s="333"/>
      <c r="L845" s="334"/>
      <c r="P845" s="335"/>
    </row>
    <row r="846" ht="15.75" customHeight="1">
      <c r="E846" s="331"/>
      <c r="F846" s="332"/>
      <c r="G846" s="332"/>
      <c r="J846" s="333"/>
      <c r="L846" s="334"/>
      <c r="P846" s="335"/>
    </row>
    <row r="847" ht="15.75" customHeight="1">
      <c r="E847" s="331"/>
      <c r="F847" s="332"/>
      <c r="G847" s="332"/>
      <c r="J847" s="333"/>
      <c r="L847" s="334"/>
      <c r="P847" s="335"/>
    </row>
    <row r="848" ht="15.75" customHeight="1">
      <c r="E848" s="331"/>
      <c r="F848" s="332"/>
      <c r="G848" s="332"/>
      <c r="J848" s="333"/>
      <c r="L848" s="334"/>
      <c r="P848" s="335"/>
    </row>
    <row r="849" ht="15.75" customHeight="1">
      <c r="E849" s="331"/>
      <c r="F849" s="332"/>
      <c r="G849" s="332"/>
      <c r="J849" s="333"/>
      <c r="L849" s="334"/>
      <c r="P849" s="335"/>
    </row>
    <row r="850" ht="15.75" customHeight="1">
      <c r="E850" s="331"/>
      <c r="F850" s="332"/>
      <c r="G850" s="332"/>
      <c r="J850" s="333"/>
      <c r="L850" s="334"/>
      <c r="P850" s="335"/>
    </row>
    <row r="851" ht="15.75" customHeight="1">
      <c r="E851" s="331"/>
      <c r="F851" s="332"/>
      <c r="G851" s="332"/>
      <c r="J851" s="333"/>
      <c r="L851" s="334"/>
      <c r="P851" s="335"/>
    </row>
    <row r="852" ht="15.75" customHeight="1">
      <c r="E852" s="331"/>
      <c r="F852" s="332"/>
      <c r="G852" s="332"/>
      <c r="J852" s="333"/>
      <c r="L852" s="334"/>
      <c r="P852" s="335"/>
    </row>
    <row r="853" ht="15.75" customHeight="1">
      <c r="E853" s="331"/>
      <c r="F853" s="332"/>
      <c r="G853" s="332"/>
      <c r="J853" s="333"/>
      <c r="L853" s="334"/>
      <c r="P853" s="335"/>
    </row>
    <row r="854" ht="15.75" customHeight="1">
      <c r="E854" s="331"/>
      <c r="F854" s="332"/>
      <c r="G854" s="332"/>
      <c r="J854" s="333"/>
      <c r="L854" s="334"/>
      <c r="P854" s="335"/>
    </row>
    <row r="855" ht="15.75" customHeight="1">
      <c r="E855" s="331"/>
      <c r="F855" s="332"/>
      <c r="G855" s="332"/>
      <c r="J855" s="333"/>
      <c r="L855" s="334"/>
      <c r="P855" s="335"/>
    </row>
    <row r="856" ht="15.75" customHeight="1">
      <c r="E856" s="331"/>
      <c r="F856" s="332"/>
      <c r="G856" s="332"/>
      <c r="J856" s="333"/>
      <c r="L856" s="334"/>
      <c r="P856" s="335"/>
    </row>
    <row r="857" ht="15.75" customHeight="1">
      <c r="E857" s="331"/>
      <c r="F857" s="332"/>
      <c r="G857" s="332"/>
      <c r="J857" s="333"/>
      <c r="L857" s="334"/>
      <c r="P857" s="335"/>
    </row>
    <row r="858" ht="15.75" customHeight="1">
      <c r="E858" s="331"/>
      <c r="F858" s="332"/>
      <c r="G858" s="332"/>
      <c r="J858" s="333"/>
      <c r="L858" s="334"/>
      <c r="P858" s="335"/>
    </row>
    <row r="859" ht="15.75" customHeight="1">
      <c r="E859" s="331"/>
      <c r="F859" s="332"/>
      <c r="G859" s="332"/>
      <c r="J859" s="333"/>
      <c r="L859" s="334"/>
      <c r="P859" s="335"/>
    </row>
    <row r="860" ht="15.75" customHeight="1">
      <c r="E860" s="331"/>
      <c r="F860" s="332"/>
      <c r="G860" s="332"/>
      <c r="J860" s="333"/>
      <c r="L860" s="334"/>
      <c r="P860" s="335"/>
    </row>
    <row r="861" ht="15.75" customHeight="1">
      <c r="E861" s="331"/>
      <c r="F861" s="332"/>
      <c r="G861" s="332"/>
      <c r="J861" s="333"/>
      <c r="L861" s="334"/>
      <c r="P861" s="335"/>
    </row>
    <row r="862" ht="15.75" customHeight="1">
      <c r="E862" s="331"/>
      <c r="F862" s="332"/>
      <c r="G862" s="332"/>
      <c r="J862" s="333"/>
      <c r="L862" s="334"/>
      <c r="P862" s="335"/>
    </row>
    <row r="863" ht="15.75" customHeight="1">
      <c r="E863" s="331"/>
      <c r="F863" s="332"/>
      <c r="G863" s="332"/>
      <c r="J863" s="333"/>
      <c r="L863" s="334"/>
      <c r="P863" s="335"/>
    </row>
    <row r="864" ht="15.75" customHeight="1">
      <c r="E864" s="331"/>
      <c r="F864" s="332"/>
      <c r="G864" s="332"/>
      <c r="J864" s="333"/>
      <c r="L864" s="334"/>
      <c r="P864" s="335"/>
    </row>
    <row r="865" ht="15.75" customHeight="1">
      <c r="E865" s="331"/>
      <c r="F865" s="332"/>
      <c r="G865" s="332"/>
      <c r="J865" s="333"/>
      <c r="L865" s="334"/>
      <c r="P865" s="335"/>
    </row>
    <row r="866" ht="15.75" customHeight="1">
      <c r="E866" s="331"/>
      <c r="F866" s="332"/>
      <c r="G866" s="332"/>
      <c r="J866" s="333"/>
      <c r="L866" s="334"/>
      <c r="P866" s="335"/>
    </row>
    <row r="867" ht="15.75" customHeight="1">
      <c r="E867" s="331"/>
      <c r="F867" s="332"/>
      <c r="G867" s="332"/>
      <c r="J867" s="333"/>
      <c r="L867" s="334"/>
      <c r="P867" s="335"/>
    </row>
    <row r="868" ht="15.75" customHeight="1">
      <c r="E868" s="331"/>
      <c r="F868" s="332"/>
      <c r="G868" s="332"/>
      <c r="J868" s="333"/>
      <c r="L868" s="334"/>
      <c r="P868" s="335"/>
    </row>
    <row r="869" ht="15.75" customHeight="1">
      <c r="E869" s="331"/>
      <c r="F869" s="332"/>
      <c r="G869" s="332"/>
      <c r="J869" s="333"/>
      <c r="L869" s="334"/>
      <c r="P869" s="335"/>
    </row>
    <row r="870" ht="15.75" customHeight="1">
      <c r="E870" s="331"/>
      <c r="F870" s="332"/>
      <c r="G870" s="332"/>
      <c r="J870" s="333"/>
      <c r="L870" s="334"/>
      <c r="P870" s="335"/>
    </row>
    <row r="871" ht="15.75" customHeight="1">
      <c r="E871" s="331"/>
      <c r="F871" s="332"/>
      <c r="G871" s="332"/>
      <c r="J871" s="333"/>
      <c r="L871" s="334"/>
      <c r="P871" s="335"/>
    </row>
    <row r="872" ht="15.75" customHeight="1">
      <c r="E872" s="331"/>
      <c r="F872" s="332"/>
      <c r="G872" s="332"/>
      <c r="J872" s="333"/>
      <c r="L872" s="334"/>
      <c r="P872" s="335"/>
    </row>
    <row r="873" ht="15.75" customHeight="1">
      <c r="E873" s="331"/>
      <c r="F873" s="332"/>
      <c r="G873" s="332"/>
      <c r="J873" s="333"/>
      <c r="L873" s="334"/>
      <c r="P873" s="335"/>
    </row>
    <row r="874" ht="15.75" customHeight="1">
      <c r="E874" s="331"/>
      <c r="F874" s="332"/>
      <c r="G874" s="332"/>
      <c r="J874" s="333"/>
      <c r="L874" s="334"/>
      <c r="P874" s="335"/>
    </row>
    <row r="875" ht="15.75" customHeight="1">
      <c r="E875" s="331"/>
      <c r="F875" s="332"/>
      <c r="G875" s="332"/>
      <c r="J875" s="333"/>
      <c r="L875" s="334"/>
      <c r="P875" s="335"/>
    </row>
    <row r="876" ht="15.75" customHeight="1">
      <c r="E876" s="331"/>
      <c r="F876" s="332"/>
      <c r="G876" s="332"/>
      <c r="J876" s="333"/>
      <c r="L876" s="334"/>
      <c r="P876" s="335"/>
    </row>
    <row r="877" ht="15.75" customHeight="1">
      <c r="E877" s="331"/>
      <c r="F877" s="332"/>
      <c r="G877" s="332"/>
      <c r="J877" s="333"/>
      <c r="L877" s="334"/>
      <c r="P877" s="335"/>
    </row>
    <row r="878" ht="15.75" customHeight="1">
      <c r="E878" s="331"/>
      <c r="F878" s="332"/>
      <c r="G878" s="332"/>
      <c r="J878" s="333"/>
      <c r="L878" s="334"/>
      <c r="P878" s="335"/>
    </row>
    <row r="879" ht="15.75" customHeight="1">
      <c r="E879" s="331"/>
      <c r="F879" s="332"/>
      <c r="G879" s="332"/>
      <c r="J879" s="333"/>
      <c r="L879" s="334"/>
      <c r="P879" s="335"/>
    </row>
    <row r="880" ht="15.75" customHeight="1">
      <c r="E880" s="331"/>
      <c r="F880" s="332"/>
      <c r="G880" s="332"/>
      <c r="J880" s="333"/>
      <c r="L880" s="334"/>
      <c r="P880" s="335"/>
    </row>
    <row r="881" ht="15.75" customHeight="1">
      <c r="E881" s="331"/>
      <c r="F881" s="332"/>
      <c r="G881" s="332"/>
      <c r="J881" s="333"/>
      <c r="L881" s="334"/>
      <c r="P881" s="335"/>
    </row>
    <row r="882" ht="15.75" customHeight="1">
      <c r="E882" s="331"/>
      <c r="F882" s="332"/>
      <c r="G882" s="332"/>
      <c r="J882" s="333"/>
      <c r="L882" s="334"/>
      <c r="P882" s="335"/>
    </row>
    <row r="883" ht="15.75" customHeight="1">
      <c r="E883" s="331"/>
      <c r="F883" s="332"/>
      <c r="G883" s="332"/>
      <c r="J883" s="333"/>
      <c r="L883" s="334"/>
      <c r="P883" s="335"/>
    </row>
    <row r="884" ht="15.75" customHeight="1">
      <c r="E884" s="331"/>
      <c r="F884" s="332"/>
      <c r="G884" s="332"/>
      <c r="J884" s="333"/>
      <c r="L884" s="334"/>
      <c r="P884" s="335"/>
    </row>
    <row r="885" ht="15.75" customHeight="1">
      <c r="E885" s="331"/>
      <c r="F885" s="332"/>
      <c r="G885" s="332"/>
      <c r="J885" s="333"/>
      <c r="L885" s="334"/>
      <c r="P885" s="335"/>
    </row>
    <row r="886" ht="15.75" customHeight="1">
      <c r="E886" s="331"/>
      <c r="F886" s="332"/>
      <c r="G886" s="332"/>
      <c r="J886" s="333"/>
      <c r="L886" s="334"/>
      <c r="P886" s="335"/>
    </row>
    <row r="887" ht="15.75" customHeight="1">
      <c r="E887" s="331"/>
      <c r="F887" s="332"/>
      <c r="G887" s="332"/>
      <c r="J887" s="333"/>
      <c r="L887" s="334"/>
      <c r="P887" s="335"/>
    </row>
    <row r="888" ht="15.75" customHeight="1">
      <c r="E888" s="331"/>
      <c r="F888" s="332"/>
      <c r="G888" s="332"/>
      <c r="J888" s="333"/>
      <c r="L888" s="334"/>
      <c r="P888" s="335"/>
    </row>
    <row r="889" ht="15.75" customHeight="1">
      <c r="E889" s="331"/>
      <c r="F889" s="332"/>
      <c r="G889" s="332"/>
      <c r="J889" s="333"/>
      <c r="L889" s="334"/>
      <c r="P889" s="335"/>
    </row>
    <row r="890" ht="15.75" customHeight="1">
      <c r="E890" s="331"/>
      <c r="F890" s="332"/>
      <c r="G890" s="332"/>
      <c r="J890" s="333"/>
      <c r="L890" s="334"/>
      <c r="P890" s="335"/>
    </row>
    <row r="891" ht="15.75" customHeight="1">
      <c r="E891" s="331"/>
      <c r="F891" s="332"/>
      <c r="G891" s="332"/>
      <c r="J891" s="333"/>
      <c r="L891" s="334"/>
      <c r="P891" s="335"/>
    </row>
    <row r="892" ht="15.75" customHeight="1">
      <c r="E892" s="331"/>
      <c r="F892" s="332"/>
      <c r="G892" s="332"/>
      <c r="J892" s="333"/>
      <c r="L892" s="334"/>
      <c r="P892" s="335"/>
    </row>
    <row r="893" ht="15.75" customHeight="1">
      <c r="E893" s="331"/>
      <c r="F893" s="332"/>
      <c r="G893" s="332"/>
      <c r="J893" s="333"/>
      <c r="L893" s="334"/>
      <c r="P893" s="335"/>
    </row>
    <row r="894" ht="15.75" customHeight="1">
      <c r="E894" s="331"/>
      <c r="F894" s="332"/>
      <c r="G894" s="332"/>
      <c r="J894" s="333"/>
      <c r="L894" s="334"/>
      <c r="P894" s="335"/>
    </row>
    <row r="895" ht="15.75" customHeight="1">
      <c r="E895" s="331"/>
      <c r="F895" s="332"/>
      <c r="G895" s="332"/>
      <c r="J895" s="333"/>
      <c r="L895" s="334"/>
      <c r="P895" s="335"/>
    </row>
    <row r="896" ht="15.75" customHeight="1">
      <c r="E896" s="331"/>
      <c r="F896" s="332"/>
      <c r="G896" s="332"/>
      <c r="J896" s="333"/>
      <c r="L896" s="334"/>
      <c r="P896" s="335"/>
    </row>
    <row r="897" ht="15.75" customHeight="1">
      <c r="E897" s="331"/>
      <c r="F897" s="332"/>
      <c r="G897" s="332"/>
      <c r="J897" s="333"/>
      <c r="L897" s="334"/>
      <c r="P897" s="335"/>
    </row>
    <row r="898" ht="15.75" customHeight="1">
      <c r="E898" s="331"/>
      <c r="F898" s="332"/>
      <c r="G898" s="332"/>
      <c r="J898" s="333"/>
      <c r="L898" s="334"/>
      <c r="P898" s="335"/>
    </row>
    <row r="899" ht="15.75" customHeight="1">
      <c r="E899" s="331"/>
      <c r="F899" s="332"/>
      <c r="G899" s="332"/>
      <c r="J899" s="333"/>
      <c r="L899" s="334"/>
      <c r="P899" s="335"/>
    </row>
    <row r="900" ht="15.75" customHeight="1">
      <c r="E900" s="331"/>
      <c r="F900" s="332"/>
      <c r="G900" s="332"/>
      <c r="J900" s="333"/>
      <c r="L900" s="334"/>
      <c r="P900" s="335"/>
    </row>
    <row r="901" ht="15.75" customHeight="1">
      <c r="E901" s="331"/>
      <c r="F901" s="332"/>
      <c r="G901" s="332"/>
      <c r="J901" s="333"/>
      <c r="L901" s="334"/>
      <c r="P901" s="335"/>
    </row>
    <row r="902" ht="15.75" customHeight="1">
      <c r="E902" s="331"/>
      <c r="F902" s="332"/>
      <c r="G902" s="332"/>
      <c r="J902" s="333"/>
      <c r="L902" s="334"/>
      <c r="P902" s="335"/>
    </row>
    <row r="903" ht="15.75" customHeight="1">
      <c r="E903" s="331"/>
      <c r="F903" s="332"/>
      <c r="G903" s="332"/>
      <c r="J903" s="333"/>
      <c r="L903" s="334"/>
      <c r="P903" s="335"/>
    </row>
    <row r="904" ht="15.75" customHeight="1">
      <c r="E904" s="331"/>
      <c r="F904" s="332"/>
      <c r="G904" s="332"/>
      <c r="J904" s="333"/>
      <c r="L904" s="334"/>
      <c r="P904" s="335"/>
    </row>
    <row r="905" ht="15.75" customHeight="1">
      <c r="E905" s="331"/>
      <c r="F905" s="332"/>
      <c r="G905" s="332"/>
      <c r="J905" s="333"/>
      <c r="L905" s="334"/>
      <c r="P905" s="335"/>
    </row>
    <row r="906" ht="15.75" customHeight="1">
      <c r="E906" s="331"/>
      <c r="F906" s="332"/>
      <c r="G906" s="332"/>
      <c r="J906" s="333"/>
      <c r="L906" s="334"/>
      <c r="P906" s="335"/>
    </row>
    <row r="907" ht="15.75" customHeight="1">
      <c r="E907" s="331"/>
      <c r="F907" s="332"/>
      <c r="G907" s="332"/>
      <c r="J907" s="333"/>
      <c r="L907" s="334"/>
      <c r="P907" s="335"/>
    </row>
    <row r="908" ht="15.75" customHeight="1">
      <c r="E908" s="331"/>
      <c r="F908" s="332"/>
      <c r="G908" s="332"/>
      <c r="J908" s="333"/>
      <c r="L908" s="334"/>
      <c r="P908" s="335"/>
    </row>
    <row r="909" ht="15.75" customHeight="1">
      <c r="E909" s="331"/>
      <c r="F909" s="332"/>
      <c r="G909" s="332"/>
      <c r="J909" s="333"/>
      <c r="L909" s="334"/>
      <c r="P909" s="335"/>
    </row>
    <row r="910" ht="15.75" customHeight="1">
      <c r="E910" s="331"/>
      <c r="F910" s="332"/>
      <c r="G910" s="332"/>
      <c r="J910" s="333"/>
      <c r="L910" s="334"/>
      <c r="P910" s="335"/>
    </row>
    <row r="911" ht="15.75" customHeight="1">
      <c r="E911" s="331"/>
      <c r="F911" s="332"/>
      <c r="G911" s="332"/>
      <c r="J911" s="333"/>
      <c r="L911" s="334"/>
      <c r="P911" s="335"/>
    </row>
    <row r="912" ht="15.75" customHeight="1">
      <c r="E912" s="331"/>
      <c r="F912" s="332"/>
      <c r="G912" s="332"/>
      <c r="J912" s="333"/>
      <c r="L912" s="334"/>
      <c r="P912" s="335"/>
    </row>
    <row r="913" ht="15.75" customHeight="1">
      <c r="E913" s="331"/>
      <c r="F913" s="332"/>
      <c r="G913" s="332"/>
      <c r="J913" s="333"/>
      <c r="L913" s="334"/>
      <c r="P913" s="335"/>
    </row>
    <row r="914" ht="15.75" customHeight="1">
      <c r="E914" s="331"/>
      <c r="F914" s="332"/>
      <c r="G914" s="332"/>
      <c r="J914" s="333"/>
      <c r="L914" s="334"/>
      <c r="P914" s="335"/>
    </row>
    <row r="915" ht="15.75" customHeight="1">
      <c r="E915" s="331"/>
      <c r="F915" s="332"/>
      <c r="G915" s="332"/>
      <c r="J915" s="333"/>
      <c r="L915" s="334"/>
      <c r="P915" s="335"/>
    </row>
    <row r="916" ht="15.75" customHeight="1">
      <c r="E916" s="331"/>
      <c r="F916" s="332"/>
      <c r="G916" s="332"/>
      <c r="J916" s="333"/>
      <c r="L916" s="334"/>
      <c r="P916" s="335"/>
    </row>
    <row r="917" ht="15.75" customHeight="1">
      <c r="E917" s="331"/>
      <c r="F917" s="332"/>
      <c r="G917" s="332"/>
      <c r="J917" s="333"/>
      <c r="L917" s="334"/>
      <c r="P917" s="335"/>
    </row>
    <row r="918" ht="15.75" customHeight="1">
      <c r="E918" s="331"/>
      <c r="F918" s="332"/>
      <c r="G918" s="332"/>
      <c r="J918" s="333"/>
      <c r="L918" s="334"/>
      <c r="P918" s="335"/>
    </row>
    <row r="919" ht="15.75" customHeight="1">
      <c r="E919" s="331"/>
      <c r="F919" s="332"/>
      <c r="G919" s="332"/>
      <c r="J919" s="333"/>
      <c r="L919" s="334"/>
      <c r="P919" s="335"/>
    </row>
    <row r="920" ht="15.75" customHeight="1">
      <c r="E920" s="331"/>
      <c r="F920" s="332"/>
      <c r="G920" s="332"/>
      <c r="J920" s="333"/>
      <c r="L920" s="334"/>
      <c r="P920" s="335"/>
    </row>
    <row r="921" ht="15.75" customHeight="1">
      <c r="E921" s="331"/>
      <c r="F921" s="332"/>
      <c r="G921" s="332"/>
      <c r="J921" s="333"/>
      <c r="L921" s="334"/>
      <c r="P921" s="335"/>
    </row>
    <row r="922" ht="15.75" customHeight="1">
      <c r="E922" s="331"/>
      <c r="F922" s="332"/>
      <c r="G922" s="332"/>
      <c r="J922" s="333"/>
      <c r="L922" s="334"/>
      <c r="P922" s="335"/>
    </row>
    <row r="923" ht="15.75" customHeight="1">
      <c r="E923" s="331"/>
      <c r="F923" s="332"/>
      <c r="G923" s="332"/>
      <c r="J923" s="333"/>
      <c r="L923" s="334"/>
      <c r="P923" s="335"/>
    </row>
    <row r="924" ht="15.75" customHeight="1">
      <c r="E924" s="331"/>
      <c r="F924" s="332"/>
      <c r="G924" s="332"/>
      <c r="J924" s="333"/>
      <c r="L924" s="334"/>
      <c r="P924" s="335"/>
    </row>
    <row r="925" ht="15.75" customHeight="1">
      <c r="E925" s="331"/>
      <c r="F925" s="332"/>
      <c r="G925" s="332"/>
      <c r="J925" s="333"/>
      <c r="L925" s="334"/>
      <c r="P925" s="335"/>
    </row>
    <row r="926" ht="15.75" customHeight="1">
      <c r="E926" s="331"/>
      <c r="F926" s="332"/>
      <c r="G926" s="332"/>
      <c r="J926" s="333"/>
      <c r="L926" s="334"/>
      <c r="P926" s="335"/>
    </row>
    <row r="927" ht="15.75" customHeight="1">
      <c r="E927" s="331"/>
      <c r="F927" s="332"/>
      <c r="G927" s="332"/>
      <c r="J927" s="333"/>
      <c r="L927" s="334"/>
      <c r="P927" s="335"/>
    </row>
    <row r="928" ht="15.75" customHeight="1">
      <c r="E928" s="331"/>
      <c r="F928" s="332"/>
      <c r="G928" s="332"/>
      <c r="J928" s="333"/>
      <c r="L928" s="334"/>
      <c r="P928" s="335"/>
    </row>
    <row r="929" ht="15.75" customHeight="1">
      <c r="E929" s="331"/>
      <c r="F929" s="332"/>
      <c r="G929" s="332"/>
      <c r="J929" s="333"/>
      <c r="L929" s="334"/>
      <c r="P929" s="335"/>
    </row>
    <row r="930" ht="15.75" customHeight="1">
      <c r="E930" s="331"/>
      <c r="F930" s="332"/>
      <c r="G930" s="332"/>
      <c r="J930" s="333"/>
      <c r="L930" s="334"/>
      <c r="P930" s="335"/>
    </row>
    <row r="931" ht="15.75" customHeight="1">
      <c r="E931" s="331"/>
      <c r="F931" s="332"/>
      <c r="G931" s="332"/>
      <c r="J931" s="333"/>
      <c r="L931" s="334"/>
      <c r="P931" s="335"/>
    </row>
    <row r="932" ht="15.75" customHeight="1">
      <c r="E932" s="331"/>
      <c r="F932" s="332"/>
      <c r="G932" s="332"/>
      <c r="J932" s="333"/>
      <c r="L932" s="334"/>
      <c r="P932" s="335"/>
    </row>
    <row r="933" ht="15.75" customHeight="1">
      <c r="E933" s="331"/>
      <c r="F933" s="332"/>
      <c r="G933" s="332"/>
      <c r="J933" s="333"/>
      <c r="L933" s="334"/>
      <c r="P933" s="335"/>
    </row>
    <row r="934" ht="15.75" customHeight="1">
      <c r="E934" s="331"/>
      <c r="F934" s="332"/>
      <c r="G934" s="332"/>
      <c r="J934" s="333"/>
      <c r="L934" s="334"/>
      <c r="P934" s="335"/>
    </row>
    <row r="935" ht="15.75" customHeight="1">
      <c r="E935" s="331"/>
      <c r="F935" s="332"/>
      <c r="G935" s="332"/>
      <c r="J935" s="333"/>
      <c r="L935" s="334"/>
      <c r="P935" s="335"/>
    </row>
    <row r="936" ht="15.75" customHeight="1">
      <c r="E936" s="331"/>
      <c r="F936" s="332"/>
      <c r="G936" s="332"/>
      <c r="J936" s="333"/>
      <c r="L936" s="334"/>
      <c r="P936" s="335"/>
    </row>
    <row r="937" ht="15.75" customHeight="1">
      <c r="E937" s="331"/>
      <c r="F937" s="332"/>
      <c r="G937" s="332"/>
      <c r="J937" s="333"/>
      <c r="L937" s="334"/>
      <c r="P937" s="335"/>
    </row>
    <row r="938" ht="15.75" customHeight="1">
      <c r="E938" s="331"/>
      <c r="F938" s="332"/>
      <c r="G938" s="332"/>
      <c r="J938" s="333"/>
      <c r="L938" s="334"/>
      <c r="P938" s="335"/>
    </row>
    <row r="939" ht="15.75" customHeight="1">
      <c r="E939" s="331"/>
      <c r="F939" s="332"/>
      <c r="G939" s="332"/>
      <c r="J939" s="333"/>
      <c r="L939" s="334"/>
      <c r="P939" s="335"/>
    </row>
    <row r="940" ht="15.75" customHeight="1">
      <c r="E940" s="331"/>
      <c r="F940" s="332"/>
      <c r="G940" s="332"/>
      <c r="J940" s="333"/>
      <c r="L940" s="334"/>
      <c r="P940" s="335"/>
    </row>
    <row r="941" ht="15.75" customHeight="1">
      <c r="E941" s="331"/>
      <c r="F941" s="332"/>
      <c r="G941" s="332"/>
      <c r="J941" s="333"/>
      <c r="L941" s="334"/>
      <c r="P941" s="335"/>
    </row>
    <row r="942" ht="15.75" customHeight="1">
      <c r="E942" s="331"/>
      <c r="F942" s="332"/>
      <c r="G942" s="332"/>
      <c r="J942" s="333"/>
      <c r="L942" s="334"/>
      <c r="P942" s="335"/>
    </row>
    <row r="943" ht="15.75" customHeight="1">
      <c r="E943" s="331"/>
      <c r="F943" s="332"/>
      <c r="G943" s="332"/>
      <c r="J943" s="333"/>
      <c r="L943" s="334"/>
      <c r="P943" s="335"/>
    </row>
    <row r="944" ht="15.75" customHeight="1">
      <c r="E944" s="331"/>
      <c r="F944" s="332"/>
      <c r="G944" s="332"/>
      <c r="J944" s="333"/>
      <c r="L944" s="334"/>
      <c r="P944" s="335"/>
    </row>
    <row r="945" ht="15.75" customHeight="1">
      <c r="E945" s="331"/>
      <c r="F945" s="332"/>
      <c r="G945" s="332"/>
      <c r="J945" s="333"/>
      <c r="L945" s="334"/>
      <c r="P945" s="335"/>
    </row>
    <row r="946" ht="15.75" customHeight="1">
      <c r="E946" s="331"/>
      <c r="F946" s="332"/>
      <c r="G946" s="332"/>
      <c r="J946" s="333"/>
      <c r="L946" s="334"/>
      <c r="P946" s="335"/>
    </row>
    <row r="947" ht="15.75" customHeight="1">
      <c r="E947" s="331"/>
      <c r="F947" s="332"/>
      <c r="G947" s="332"/>
      <c r="J947" s="333"/>
      <c r="L947" s="334"/>
      <c r="P947" s="335"/>
    </row>
    <row r="948" ht="15.75" customHeight="1">
      <c r="E948" s="331"/>
      <c r="F948" s="332"/>
      <c r="G948" s="332"/>
      <c r="J948" s="333"/>
      <c r="L948" s="334"/>
      <c r="P948" s="335"/>
    </row>
    <row r="949" ht="15.75" customHeight="1">
      <c r="E949" s="331"/>
      <c r="F949" s="332"/>
      <c r="G949" s="332"/>
      <c r="J949" s="333"/>
      <c r="L949" s="334"/>
      <c r="P949" s="335"/>
    </row>
    <row r="950" ht="15.75" customHeight="1">
      <c r="E950" s="331"/>
      <c r="F950" s="332"/>
      <c r="G950" s="332"/>
      <c r="J950" s="333"/>
      <c r="L950" s="334"/>
      <c r="P950" s="335"/>
    </row>
    <row r="951" ht="15.75" customHeight="1">
      <c r="E951" s="331"/>
      <c r="F951" s="332"/>
      <c r="G951" s="332"/>
      <c r="J951" s="333"/>
      <c r="L951" s="334"/>
      <c r="P951" s="335"/>
    </row>
    <row r="952" ht="15.75" customHeight="1">
      <c r="E952" s="331"/>
      <c r="F952" s="332"/>
      <c r="G952" s="332"/>
      <c r="J952" s="333"/>
      <c r="L952" s="334"/>
      <c r="P952" s="335"/>
    </row>
    <row r="953" ht="15.75" customHeight="1">
      <c r="E953" s="331"/>
      <c r="F953" s="332"/>
      <c r="G953" s="332"/>
      <c r="J953" s="333"/>
      <c r="L953" s="334"/>
      <c r="P953" s="335"/>
    </row>
    <row r="954" ht="15.75" customHeight="1">
      <c r="E954" s="331"/>
      <c r="F954" s="332"/>
      <c r="G954" s="332"/>
      <c r="J954" s="333"/>
      <c r="L954" s="334"/>
      <c r="P954" s="335"/>
    </row>
    <row r="955" ht="15.75" customHeight="1">
      <c r="E955" s="331"/>
      <c r="F955" s="332"/>
      <c r="G955" s="332"/>
      <c r="J955" s="333"/>
      <c r="L955" s="334"/>
      <c r="P955" s="335"/>
    </row>
    <row r="956" ht="15.75" customHeight="1">
      <c r="E956" s="331"/>
      <c r="F956" s="332"/>
      <c r="G956" s="332"/>
      <c r="J956" s="333"/>
      <c r="L956" s="334"/>
      <c r="P956" s="335"/>
    </row>
    <row r="957" ht="15.75" customHeight="1">
      <c r="E957" s="331"/>
      <c r="F957" s="332"/>
      <c r="G957" s="332"/>
      <c r="J957" s="333"/>
      <c r="L957" s="334"/>
      <c r="P957" s="335"/>
    </row>
    <row r="958" ht="15.75" customHeight="1">
      <c r="E958" s="331"/>
      <c r="F958" s="332"/>
      <c r="G958" s="332"/>
      <c r="J958" s="333"/>
      <c r="L958" s="334"/>
      <c r="P958" s="335"/>
    </row>
    <row r="959" ht="15.75" customHeight="1">
      <c r="E959" s="331"/>
      <c r="F959" s="332"/>
      <c r="G959" s="332"/>
      <c r="J959" s="333"/>
      <c r="L959" s="334"/>
      <c r="P959" s="335"/>
    </row>
    <row r="960" ht="15.75" customHeight="1">
      <c r="E960" s="331"/>
      <c r="F960" s="332"/>
      <c r="G960" s="332"/>
      <c r="J960" s="333"/>
      <c r="L960" s="334"/>
      <c r="P960" s="335"/>
    </row>
    <row r="961" ht="15.75" customHeight="1">
      <c r="E961" s="331"/>
      <c r="F961" s="332"/>
      <c r="G961" s="332"/>
      <c r="J961" s="333"/>
      <c r="L961" s="334"/>
      <c r="P961" s="335"/>
    </row>
    <row r="962" ht="15.75" customHeight="1">
      <c r="E962" s="331"/>
      <c r="F962" s="332"/>
      <c r="G962" s="332"/>
      <c r="J962" s="333"/>
      <c r="L962" s="334"/>
      <c r="P962" s="335"/>
    </row>
    <row r="963" ht="15.75" customHeight="1">
      <c r="E963" s="331"/>
      <c r="F963" s="332"/>
      <c r="G963" s="332"/>
      <c r="J963" s="333"/>
      <c r="L963" s="334"/>
      <c r="P963" s="335"/>
    </row>
    <row r="964" ht="15.75" customHeight="1">
      <c r="E964" s="331"/>
      <c r="F964" s="332"/>
      <c r="G964" s="332"/>
      <c r="J964" s="333"/>
      <c r="L964" s="334"/>
      <c r="P964" s="335"/>
    </row>
    <row r="965" ht="15.75" customHeight="1">
      <c r="E965" s="331"/>
      <c r="F965" s="332"/>
      <c r="G965" s="332"/>
      <c r="J965" s="333"/>
      <c r="L965" s="334"/>
      <c r="P965" s="335"/>
    </row>
    <row r="966" ht="15.75" customHeight="1">
      <c r="E966" s="331"/>
      <c r="F966" s="332"/>
      <c r="G966" s="332"/>
      <c r="J966" s="333"/>
      <c r="L966" s="334"/>
      <c r="P966" s="335"/>
    </row>
    <row r="967" ht="15.75" customHeight="1">
      <c r="E967" s="331"/>
      <c r="F967" s="332"/>
      <c r="G967" s="332"/>
      <c r="J967" s="333"/>
      <c r="L967" s="334"/>
      <c r="P967" s="335"/>
    </row>
    <row r="968" ht="15.75" customHeight="1">
      <c r="E968" s="331"/>
      <c r="F968" s="332"/>
      <c r="G968" s="332"/>
      <c r="J968" s="333"/>
      <c r="L968" s="334"/>
      <c r="P968" s="335"/>
    </row>
    <row r="969" ht="15.75" customHeight="1">
      <c r="E969" s="331"/>
      <c r="F969" s="332"/>
      <c r="G969" s="332"/>
      <c r="J969" s="333"/>
      <c r="L969" s="334"/>
      <c r="P969" s="335"/>
    </row>
    <row r="970" ht="15.75" customHeight="1">
      <c r="E970" s="331"/>
      <c r="F970" s="332"/>
      <c r="G970" s="332"/>
      <c r="J970" s="333"/>
      <c r="L970" s="334"/>
      <c r="P970" s="335"/>
    </row>
    <row r="971" ht="15.75" customHeight="1">
      <c r="E971" s="331"/>
      <c r="F971" s="332"/>
      <c r="G971" s="332"/>
      <c r="J971" s="333"/>
      <c r="L971" s="334"/>
      <c r="P971" s="335"/>
    </row>
    <row r="972" ht="15.75" customHeight="1">
      <c r="E972" s="331"/>
      <c r="F972" s="332"/>
      <c r="G972" s="332"/>
      <c r="J972" s="333"/>
      <c r="L972" s="334"/>
      <c r="P972" s="335"/>
    </row>
    <row r="973" ht="15.75" customHeight="1">
      <c r="E973" s="331"/>
      <c r="F973" s="332"/>
      <c r="G973" s="332"/>
      <c r="J973" s="333"/>
      <c r="L973" s="334"/>
      <c r="P973" s="335"/>
    </row>
    <row r="974" ht="15.75" customHeight="1">
      <c r="E974" s="331"/>
      <c r="F974" s="332"/>
      <c r="G974" s="332"/>
      <c r="J974" s="333"/>
      <c r="L974" s="334"/>
      <c r="P974" s="335"/>
    </row>
    <row r="975" ht="15.75" customHeight="1">
      <c r="E975" s="331"/>
      <c r="F975" s="332"/>
      <c r="G975" s="332"/>
      <c r="J975" s="333"/>
      <c r="L975" s="334"/>
      <c r="P975" s="335"/>
    </row>
    <row r="976" ht="15.75" customHeight="1">
      <c r="E976" s="331"/>
      <c r="F976" s="332"/>
      <c r="G976" s="332"/>
      <c r="J976" s="333"/>
      <c r="L976" s="334"/>
      <c r="P976" s="335"/>
    </row>
    <row r="977" ht="15.75" customHeight="1">
      <c r="E977" s="331"/>
      <c r="F977" s="332"/>
      <c r="G977" s="332"/>
      <c r="J977" s="333"/>
      <c r="L977" s="334"/>
      <c r="P977" s="335"/>
    </row>
    <row r="978" ht="15.75" customHeight="1">
      <c r="E978" s="331"/>
      <c r="F978" s="332"/>
      <c r="G978" s="332"/>
      <c r="J978" s="333"/>
      <c r="L978" s="334"/>
      <c r="P978" s="335"/>
    </row>
    <row r="979" ht="15.75" customHeight="1">
      <c r="E979" s="331"/>
      <c r="F979" s="332"/>
      <c r="G979" s="332"/>
      <c r="J979" s="333"/>
      <c r="L979" s="334"/>
      <c r="P979" s="335"/>
    </row>
    <row r="980" ht="15.75" customHeight="1">
      <c r="E980" s="331"/>
      <c r="F980" s="332"/>
      <c r="G980" s="332"/>
      <c r="J980" s="333"/>
      <c r="L980" s="334"/>
      <c r="P980" s="335"/>
    </row>
    <row r="981" ht="15.75" customHeight="1">
      <c r="E981" s="331"/>
      <c r="F981" s="332"/>
      <c r="G981" s="332"/>
      <c r="J981" s="333"/>
      <c r="L981" s="334"/>
      <c r="P981" s="335"/>
    </row>
    <row r="982" ht="15.75" customHeight="1">
      <c r="E982" s="331"/>
      <c r="F982" s="332"/>
      <c r="G982" s="332"/>
      <c r="J982" s="333"/>
      <c r="L982" s="334"/>
      <c r="P982" s="335"/>
    </row>
    <row r="983" ht="15.75" customHeight="1">
      <c r="E983" s="331"/>
      <c r="F983" s="332"/>
      <c r="G983" s="332"/>
      <c r="J983" s="333"/>
      <c r="L983" s="334"/>
      <c r="P983" s="335"/>
    </row>
    <row r="984" ht="15.75" customHeight="1">
      <c r="E984" s="331"/>
      <c r="F984" s="332"/>
      <c r="G984" s="332"/>
      <c r="J984" s="333"/>
      <c r="L984" s="334"/>
      <c r="P984" s="335"/>
    </row>
    <row r="985" ht="15.75" customHeight="1">
      <c r="E985" s="331"/>
      <c r="F985" s="332"/>
      <c r="G985" s="332"/>
      <c r="J985" s="333"/>
      <c r="L985" s="334"/>
      <c r="P985" s="335"/>
    </row>
    <row r="986" ht="15.75" customHeight="1">
      <c r="E986" s="331"/>
      <c r="F986" s="332"/>
      <c r="G986" s="332"/>
      <c r="J986" s="333"/>
      <c r="L986" s="334"/>
      <c r="P986" s="335"/>
    </row>
    <row r="987" ht="15.75" customHeight="1">
      <c r="E987" s="331"/>
      <c r="F987" s="332"/>
      <c r="G987" s="332"/>
      <c r="J987" s="333"/>
      <c r="L987" s="334"/>
      <c r="P987" s="335"/>
    </row>
    <row r="988" ht="15.75" customHeight="1">
      <c r="E988" s="331"/>
      <c r="F988" s="332"/>
      <c r="G988" s="332"/>
      <c r="J988" s="333"/>
      <c r="L988" s="334"/>
      <c r="P988" s="335"/>
    </row>
    <row r="989" ht="15.75" customHeight="1">
      <c r="E989" s="331"/>
      <c r="F989" s="332"/>
      <c r="G989" s="332"/>
      <c r="J989" s="333"/>
      <c r="L989" s="334"/>
      <c r="P989" s="335"/>
    </row>
    <row r="990" ht="15.75" customHeight="1">
      <c r="E990" s="331"/>
      <c r="F990" s="332"/>
      <c r="G990" s="332"/>
      <c r="J990" s="333"/>
      <c r="L990" s="334"/>
      <c r="P990" s="335"/>
    </row>
    <row r="991" ht="15.75" customHeight="1">
      <c r="E991" s="331"/>
      <c r="F991" s="332"/>
      <c r="G991" s="332"/>
      <c r="J991" s="333"/>
      <c r="L991" s="334"/>
      <c r="P991" s="335"/>
    </row>
    <row r="992" ht="15.75" customHeight="1">
      <c r="E992" s="331"/>
      <c r="F992" s="332"/>
      <c r="G992" s="332"/>
      <c r="J992" s="333"/>
      <c r="L992" s="334"/>
      <c r="P992" s="335"/>
    </row>
    <row r="993" ht="15.75" customHeight="1">
      <c r="E993" s="331"/>
      <c r="F993" s="332"/>
      <c r="G993" s="332"/>
      <c r="J993" s="333"/>
      <c r="L993" s="334"/>
      <c r="P993" s="335"/>
    </row>
    <row r="994" ht="15.75" customHeight="1">
      <c r="E994" s="331"/>
      <c r="F994" s="332"/>
      <c r="G994" s="332"/>
      <c r="J994" s="333"/>
      <c r="L994" s="334"/>
      <c r="P994" s="335"/>
    </row>
    <row r="995" ht="15.75" customHeight="1">
      <c r="E995" s="331"/>
      <c r="F995" s="332"/>
      <c r="G995" s="332"/>
      <c r="J995" s="333"/>
      <c r="L995" s="334"/>
      <c r="P995" s="335"/>
    </row>
    <row r="996" ht="15.75" customHeight="1">
      <c r="E996" s="331"/>
      <c r="F996" s="332"/>
      <c r="G996" s="332"/>
      <c r="J996" s="333"/>
      <c r="L996" s="334"/>
      <c r="P996" s="335"/>
    </row>
    <row r="997" ht="15.75" customHeight="1">
      <c r="E997" s="331"/>
      <c r="F997" s="332"/>
      <c r="G997" s="332"/>
      <c r="J997" s="333"/>
      <c r="L997" s="334"/>
      <c r="P997" s="335"/>
    </row>
    <row r="998" ht="15.75" customHeight="1">
      <c r="E998" s="331"/>
      <c r="F998" s="332"/>
      <c r="G998" s="332"/>
      <c r="J998" s="333"/>
      <c r="L998" s="334"/>
      <c r="P998" s="335"/>
    </row>
    <row r="999" ht="15.75" customHeight="1">
      <c r="E999" s="331"/>
      <c r="F999" s="332"/>
      <c r="G999" s="332"/>
      <c r="J999" s="333"/>
      <c r="L999" s="334"/>
      <c r="P999" s="335"/>
    </row>
    <row r="1000" ht="15.75" customHeight="1">
      <c r="E1000" s="331"/>
      <c r="F1000" s="332"/>
      <c r="G1000" s="332"/>
      <c r="J1000" s="333"/>
      <c r="L1000" s="334"/>
      <c r="P1000" s="335"/>
    </row>
    <row r="1001" ht="15.75" customHeight="1">
      <c r="E1001" s="331"/>
      <c r="F1001" s="332"/>
      <c r="G1001" s="332"/>
      <c r="J1001" s="333"/>
      <c r="L1001" s="334"/>
      <c r="P1001" s="335"/>
    </row>
    <row r="1002" ht="15.75" customHeight="1">
      <c r="E1002" s="331"/>
      <c r="F1002" s="332"/>
      <c r="G1002" s="332"/>
      <c r="J1002" s="333"/>
      <c r="L1002" s="334"/>
      <c r="P1002" s="335"/>
    </row>
    <row r="1003" ht="15.75" customHeight="1">
      <c r="E1003" s="331"/>
      <c r="F1003" s="332"/>
      <c r="G1003" s="332"/>
      <c r="J1003" s="333"/>
      <c r="L1003" s="334"/>
      <c r="P1003" s="335"/>
    </row>
    <row r="1004" ht="15.75" customHeight="1">
      <c r="E1004" s="331"/>
      <c r="F1004" s="332"/>
      <c r="G1004" s="332"/>
      <c r="J1004" s="333"/>
      <c r="L1004" s="334"/>
      <c r="P1004" s="335"/>
    </row>
    <row r="1005" ht="15.75" customHeight="1">
      <c r="E1005" s="331"/>
      <c r="F1005" s="332"/>
      <c r="G1005" s="332"/>
      <c r="J1005" s="333"/>
      <c r="L1005" s="334"/>
      <c r="P1005" s="335"/>
    </row>
    <row r="1006" ht="15.75" customHeight="1">
      <c r="E1006" s="331"/>
      <c r="F1006" s="332"/>
      <c r="G1006" s="332"/>
      <c r="J1006" s="333"/>
      <c r="L1006" s="334"/>
      <c r="P1006" s="335"/>
    </row>
    <row r="1007" ht="15.75" customHeight="1">
      <c r="E1007" s="331"/>
      <c r="F1007" s="332"/>
      <c r="G1007" s="332"/>
      <c r="J1007" s="333"/>
      <c r="L1007" s="334"/>
      <c r="P1007" s="335"/>
    </row>
    <row r="1008" ht="15.75" customHeight="1">
      <c r="E1008" s="331"/>
      <c r="F1008" s="332"/>
      <c r="G1008" s="332"/>
      <c r="J1008" s="333"/>
      <c r="L1008" s="334"/>
      <c r="P1008" s="335"/>
    </row>
    <row r="1009" ht="15.75" customHeight="1">
      <c r="E1009" s="331"/>
      <c r="F1009" s="332"/>
      <c r="G1009" s="332"/>
      <c r="J1009" s="333"/>
      <c r="L1009" s="334"/>
      <c r="P1009" s="335"/>
    </row>
    <row r="1010" ht="15.75" customHeight="1">
      <c r="E1010" s="331"/>
      <c r="F1010" s="332"/>
      <c r="G1010" s="332"/>
      <c r="J1010" s="333"/>
      <c r="L1010" s="334"/>
      <c r="P1010" s="335"/>
    </row>
    <row r="1011" ht="15.75" customHeight="1">
      <c r="E1011" s="331"/>
      <c r="F1011" s="332"/>
      <c r="G1011" s="332"/>
      <c r="J1011" s="333"/>
      <c r="L1011" s="334"/>
      <c r="P1011" s="335"/>
    </row>
    <row r="1012" ht="15.75" customHeight="1">
      <c r="E1012" s="331"/>
      <c r="F1012" s="332"/>
      <c r="G1012" s="332"/>
      <c r="J1012" s="333"/>
      <c r="L1012" s="334"/>
      <c r="P1012" s="335"/>
    </row>
    <row r="1013" ht="15.75" customHeight="1">
      <c r="E1013" s="331"/>
      <c r="F1013" s="332"/>
      <c r="G1013" s="332"/>
      <c r="J1013" s="333"/>
      <c r="L1013" s="334"/>
      <c r="P1013" s="335"/>
    </row>
    <row r="1014" ht="15.75" customHeight="1">
      <c r="E1014" s="331"/>
      <c r="F1014" s="332"/>
      <c r="G1014" s="332"/>
      <c r="J1014" s="333"/>
      <c r="L1014" s="334"/>
      <c r="P1014" s="335"/>
    </row>
    <row r="1015" ht="15.75" customHeight="1">
      <c r="E1015" s="331"/>
      <c r="F1015" s="332"/>
      <c r="G1015" s="332"/>
      <c r="J1015" s="333"/>
      <c r="L1015" s="334"/>
      <c r="P1015" s="335"/>
    </row>
    <row r="1016" ht="15.75" customHeight="1">
      <c r="E1016" s="331"/>
      <c r="F1016" s="332"/>
      <c r="G1016" s="332"/>
      <c r="J1016" s="333"/>
      <c r="L1016" s="334"/>
      <c r="P1016" s="335"/>
    </row>
    <row r="1017" ht="15.75" customHeight="1">
      <c r="E1017" s="331"/>
      <c r="F1017" s="332"/>
      <c r="G1017" s="332"/>
      <c r="J1017" s="333"/>
      <c r="L1017" s="334"/>
      <c r="P1017" s="335"/>
    </row>
    <row r="1018" ht="15.75" customHeight="1">
      <c r="E1018" s="331"/>
      <c r="F1018" s="332"/>
      <c r="G1018" s="332"/>
      <c r="J1018" s="333"/>
      <c r="L1018" s="334"/>
      <c r="P1018" s="335"/>
    </row>
    <row r="1019" ht="15.75" customHeight="1">
      <c r="E1019" s="331"/>
      <c r="F1019" s="332"/>
      <c r="G1019" s="332"/>
      <c r="J1019" s="333"/>
      <c r="L1019" s="334"/>
      <c r="P1019" s="335"/>
    </row>
    <row r="1020" ht="15.75" customHeight="1">
      <c r="E1020" s="331"/>
      <c r="F1020" s="332"/>
      <c r="G1020" s="332"/>
      <c r="J1020" s="333"/>
      <c r="L1020" s="334"/>
      <c r="P1020" s="335"/>
    </row>
    <row r="1021" ht="15.75" customHeight="1">
      <c r="E1021" s="331"/>
      <c r="F1021" s="332"/>
      <c r="G1021" s="332"/>
      <c r="J1021" s="333"/>
      <c r="L1021" s="334"/>
      <c r="P1021" s="335"/>
    </row>
    <row r="1022" ht="15.75" customHeight="1">
      <c r="E1022" s="331"/>
      <c r="F1022" s="332"/>
      <c r="G1022" s="332"/>
      <c r="J1022" s="333"/>
      <c r="L1022" s="334"/>
      <c r="P1022" s="335"/>
    </row>
    <row r="1023" ht="15.75" customHeight="1">
      <c r="E1023" s="331"/>
      <c r="F1023" s="332"/>
      <c r="G1023" s="332"/>
      <c r="J1023" s="333"/>
      <c r="L1023" s="334"/>
      <c r="P1023" s="335"/>
    </row>
    <row r="1024" ht="15.75" customHeight="1">
      <c r="E1024" s="331"/>
      <c r="F1024" s="332"/>
      <c r="G1024" s="332"/>
      <c r="J1024" s="333"/>
      <c r="L1024" s="334"/>
      <c r="P1024" s="335"/>
    </row>
    <row r="1025" ht="15.75" customHeight="1">
      <c r="E1025" s="331"/>
      <c r="F1025" s="332"/>
      <c r="G1025" s="332"/>
      <c r="J1025" s="333"/>
      <c r="L1025" s="334"/>
      <c r="P1025" s="335"/>
    </row>
    <row r="1026" ht="15.75" customHeight="1">
      <c r="E1026" s="331"/>
      <c r="F1026" s="332"/>
      <c r="G1026" s="332"/>
      <c r="J1026" s="333"/>
      <c r="L1026" s="334"/>
      <c r="P1026" s="335"/>
    </row>
    <row r="1027" ht="15.75" customHeight="1">
      <c r="E1027" s="331"/>
      <c r="F1027" s="332"/>
      <c r="G1027" s="332"/>
      <c r="J1027" s="333"/>
      <c r="L1027" s="334"/>
      <c r="P1027" s="335"/>
    </row>
    <row r="1028" ht="15.75" customHeight="1">
      <c r="E1028" s="331"/>
      <c r="F1028" s="332"/>
      <c r="G1028" s="332"/>
      <c r="J1028" s="333"/>
      <c r="L1028" s="334"/>
      <c r="P1028" s="335"/>
    </row>
    <row r="1029" ht="15.75" customHeight="1">
      <c r="E1029" s="331"/>
      <c r="F1029" s="332"/>
      <c r="G1029" s="332"/>
      <c r="J1029" s="333"/>
      <c r="L1029" s="334"/>
      <c r="P1029" s="335"/>
    </row>
    <row r="1030" ht="15.75" customHeight="1">
      <c r="E1030" s="331"/>
      <c r="F1030" s="332"/>
      <c r="G1030" s="332"/>
      <c r="J1030" s="333"/>
      <c r="L1030" s="334"/>
      <c r="P1030" s="335"/>
    </row>
    <row r="1031" ht="15.75" customHeight="1">
      <c r="E1031" s="331"/>
      <c r="F1031" s="332"/>
      <c r="G1031" s="332"/>
      <c r="J1031" s="333"/>
      <c r="L1031" s="334"/>
      <c r="P1031" s="335"/>
    </row>
    <row r="1032" ht="15.75" customHeight="1">
      <c r="E1032" s="331"/>
      <c r="F1032" s="332"/>
      <c r="G1032" s="332"/>
      <c r="J1032" s="333"/>
      <c r="L1032" s="334"/>
      <c r="P1032" s="335"/>
    </row>
    <row r="1033" ht="15.75" customHeight="1">
      <c r="E1033" s="331"/>
      <c r="F1033" s="332"/>
      <c r="G1033" s="332"/>
      <c r="J1033" s="333"/>
      <c r="L1033" s="334"/>
      <c r="P1033" s="335"/>
    </row>
    <row r="1034" ht="15.75" customHeight="1">
      <c r="E1034" s="331"/>
      <c r="F1034" s="332"/>
      <c r="G1034" s="332"/>
      <c r="J1034" s="333"/>
      <c r="L1034" s="334"/>
      <c r="P1034" s="335"/>
    </row>
    <row r="1035" ht="15.75" customHeight="1">
      <c r="E1035" s="331"/>
      <c r="F1035" s="332"/>
      <c r="G1035" s="332"/>
      <c r="J1035" s="333"/>
      <c r="L1035" s="334"/>
      <c r="P1035" s="335"/>
    </row>
    <row r="1036" ht="15.75" customHeight="1">
      <c r="E1036" s="331"/>
      <c r="F1036" s="332"/>
      <c r="G1036" s="332"/>
      <c r="J1036" s="333"/>
      <c r="L1036" s="334"/>
      <c r="P1036" s="335"/>
    </row>
    <row r="1037" ht="15.75" customHeight="1">
      <c r="E1037" s="331"/>
      <c r="F1037" s="332"/>
      <c r="G1037" s="332"/>
      <c r="J1037" s="333"/>
      <c r="L1037" s="334"/>
      <c r="P1037" s="335"/>
    </row>
    <row r="1038" ht="15.75" customHeight="1">
      <c r="E1038" s="331"/>
      <c r="F1038" s="332"/>
      <c r="G1038" s="332"/>
      <c r="J1038" s="333"/>
      <c r="L1038" s="334"/>
      <c r="P1038" s="335"/>
    </row>
    <row r="1039" ht="15.75" customHeight="1">
      <c r="E1039" s="331"/>
      <c r="F1039" s="332"/>
      <c r="G1039" s="332"/>
      <c r="J1039" s="333"/>
      <c r="L1039" s="334"/>
      <c r="P1039" s="335"/>
    </row>
    <row r="1040" ht="15.75" customHeight="1">
      <c r="E1040" s="331"/>
      <c r="F1040" s="332"/>
      <c r="G1040" s="332"/>
      <c r="J1040" s="333"/>
      <c r="L1040" s="334"/>
      <c r="P1040" s="335"/>
    </row>
    <row r="1041" ht="15.75" customHeight="1">
      <c r="E1041" s="331"/>
      <c r="F1041" s="332"/>
      <c r="G1041" s="332"/>
      <c r="J1041" s="333"/>
      <c r="L1041" s="334"/>
      <c r="P1041" s="335"/>
    </row>
    <row r="1042" ht="15.75" customHeight="1">
      <c r="E1042" s="331"/>
      <c r="F1042" s="332"/>
      <c r="G1042" s="332"/>
      <c r="J1042" s="333"/>
      <c r="L1042" s="334"/>
      <c r="P1042" s="335"/>
    </row>
    <row r="1043" ht="15.75" customHeight="1">
      <c r="E1043" s="331"/>
      <c r="F1043" s="332"/>
      <c r="G1043" s="332"/>
      <c r="J1043" s="333"/>
      <c r="L1043" s="334"/>
      <c r="P1043" s="335"/>
    </row>
    <row r="1044" ht="15.75" customHeight="1">
      <c r="E1044" s="331"/>
      <c r="F1044" s="332"/>
      <c r="G1044" s="332"/>
      <c r="J1044" s="333"/>
      <c r="L1044" s="334"/>
      <c r="P1044" s="335"/>
    </row>
    <row r="1045" ht="15.75" customHeight="1">
      <c r="E1045" s="331"/>
      <c r="F1045" s="332"/>
      <c r="G1045" s="332"/>
      <c r="J1045" s="333"/>
      <c r="L1045" s="334"/>
      <c r="P1045" s="335"/>
    </row>
    <row r="1046" ht="15.75" customHeight="1">
      <c r="E1046" s="331"/>
      <c r="F1046" s="332"/>
      <c r="G1046" s="332"/>
      <c r="J1046" s="333"/>
      <c r="L1046" s="334"/>
      <c r="P1046" s="335"/>
    </row>
    <row r="1047" ht="15.75" customHeight="1">
      <c r="E1047" s="331"/>
      <c r="F1047" s="332"/>
      <c r="G1047" s="332"/>
      <c r="J1047" s="333"/>
      <c r="L1047" s="334"/>
      <c r="P1047" s="335"/>
    </row>
    <row r="1048" ht="15.75" customHeight="1">
      <c r="E1048" s="331"/>
      <c r="F1048" s="332"/>
      <c r="G1048" s="332"/>
      <c r="J1048" s="333"/>
      <c r="L1048" s="334"/>
      <c r="P1048" s="335"/>
    </row>
    <row r="1049" ht="15.75" customHeight="1">
      <c r="E1049" s="331"/>
      <c r="F1049" s="332"/>
      <c r="G1049" s="332"/>
      <c r="J1049" s="333"/>
      <c r="L1049" s="334"/>
      <c r="P1049" s="335"/>
    </row>
    <row r="1050" ht="15.75" customHeight="1">
      <c r="E1050" s="331"/>
      <c r="F1050" s="332"/>
      <c r="G1050" s="332"/>
      <c r="J1050" s="333"/>
      <c r="L1050" s="334"/>
      <c r="P1050" s="335"/>
    </row>
    <row r="1051" ht="15.75" customHeight="1">
      <c r="E1051" s="331"/>
      <c r="F1051" s="332"/>
      <c r="G1051" s="332"/>
      <c r="J1051" s="333"/>
      <c r="L1051" s="334"/>
      <c r="P1051" s="335"/>
    </row>
    <row r="1052" ht="15.75" customHeight="1">
      <c r="E1052" s="331"/>
      <c r="F1052" s="332"/>
      <c r="G1052" s="332"/>
      <c r="J1052" s="333"/>
      <c r="L1052" s="334"/>
      <c r="P1052" s="335"/>
    </row>
    <row r="1053" ht="15.75" customHeight="1">
      <c r="E1053" s="331"/>
      <c r="F1053" s="332"/>
      <c r="G1053" s="332"/>
      <c r="J1053" s="333"/>
      <c r="L1053" s="334"/>
      <c r="P1053" s="335"/>
    </row>
    <row r="1054" ht="15.75" customHeight="1">
      <c r="E1054" s="331"/>
      <c r="F1054" s="332"/>
      <c r="G1054" s="332"/>
      <c r="J1054" s="333"/>
      <c r="L1054" s="334"/>
      <c r="P1054" s="335"/>
    </row>
    <row r="1055" ht="15.75" customHeight="1">
      <c r="E1055" s="331"/>
      <c r="F1055" s="332"/>
      <c r="G1055" s="332"/>
      <c r="J1055" s="333"/>
      <c r="L1055" s="334"/>
      <c r="P1055" s="335"/>
    </row>
    <row r="1056" ht="15.75" customHeight="1">
      <c r="E1056" s="331"/>
      <c r="F1056" s="332"/>
      <c r="G1056" s="332"/>
      <c r="J1056" s="333"/>
      <c r="L1056" s="334"/>
      <c r="P1056" s="335"/>
    </row>
    <row r="1057" ht="15.75" customHeight="1">
      <c r="E1057" s="331"/>
      <c r="F1057" s="332"/>
      <c r="G1057" s="332"/>
      <c r="J1057" s="333"/>
      <c r="L1057" s="334"/>
      <c r="P1057" s="335"/>
    </row>
    <row r="1058" ht="15.75" customHeight="1">
      <c r="E1058" s="331"/>
      <c r="F1058" s="332"/>
      <c r="G1058" s="332"/>
      <c r="J1058" s="333"/>
      <c r="L1058" s="334"/>
      <c r="P1058" s="335"/>
    </row>
    <row r="1059" ht="15.75" customHeight="1">
      <c r="E1059" s="331"/>
      <c r="F1059" s="332"/>
      <c r="G1059" s="332"/>
      <c r="J1059" s="333"/>
      <c r="L1059" s="334"/>
      <c r="P1059" s="335"/>
    </row>
    <row r="1060" ht="15.75" customHeight="1">
      <c r="E1060" s="331"/>
      <c r="F1060" s="332"/>
      <c r="G1060" s="332"/>
      <c r="J1060" s="333"/>
      <c r="L1060" s="334"/>
      <c r="P1060" s="335"/>
    </row>
    <row r="1061" ht="15.75" customHeight="1">
      <c r="E1061" s="331"/>
      <c r="F1061" s="332"/>
      <c r="G1061" s="332"/>
      <c r="J1061" s="333"/>
      <c r="L1061" s="334"/>
      <c r="P1061" s="335"/>
    </row>
    <row r="1062" ht="15.75" customHeight="1">
      <c r="E1062" s="331"/>
      <c r="F1062" s="332"/>
      <c r="G1062" s="332"/>
      <c r="J1062" s="333"/>
      <c r="L1062" s="334"/>
      <c r="P1062" s="335"/>
    </row>
    <row r="1063" ht="15.75" customHeight="1">
      <c r="E1063" s="331"/>
      <c r="F1063" s="332"/>
      <c r="G1063" s="332"/>
      <c r="J1063" s="333"/>
      <c r="L1063" s="334"/>
      <c r="P1063" s="335"/>
    </row>
    <row r="1064" ht="15.75" customHeight="1">
      <c r="E1064" s="331"/>
      <c r="F1064" s="332"/>
      <c r="G1064" s="332"/>
      <c r="J1064" s="333"/>
      <c r="L1064" s="334"/>
      <c r="P1064" s="335"/>
    </row>
    <row r="1065" ht="15.75" customHeight="1">
      <c r="E1065" s="331"/>
      <c r="F1065" s="332"/>
      <c r="G1065" s="332"/>
      <c r="J1065" s="333"/>
      <c r="L1065" s="334"/>
      <c r="P1065" s="335"/>
    </row>
    <row r="1066" ht="15.75" customHeight="1">
      <c r="E1066" s="331"/>
      <c r="F1066" s="332"/>
      <c r="G1066" s="332"/>
      <c r="J1066" s="333"/>
      <c r="L1066" s="334"/>
      <c r="P1066" s="335"/>
    </row>
    <row r="1067" ht="15.75" customHeight="1">
      <c r="E1067" s="331"/>
      <c r="F1067" s="332"/>
      <c r="G1067" s="332"/>
      <c r="J1067" s="333"/>
      <c r="L1067" s="334"/>
      <c r="P1067" s="335"/>
    </row>
    <row r="1068" ht="15.75" customHeight="1">
      <c r="E1068" s="331"/>
      <c r="F1068" s="332"/>
      <c r="G1068" s="332"/>
      <c r="J1068" s="333"/>
      <c r="L1068" s="334"/>
      <c r="P1068" s="335"/>
    </row>
    <row r="1069" ht="15.75" customHeight="1">
      <c r="E1069" s="331"/>
      <c r="F1069" s="332"/>
      <c r="G1069" s="332"/>
      <c r="J1069" s="333"/>
      <c r="L1069" s="334"/>
      <c r="P1069" s="335"/>
    </row>
    <row r="1070" ht="15.75" customHeight="1">
      <c r="E1070" s="331"/>
      <c r="F1070" s="332"/>
      <c r="G1070" s="332"/>
      <c r="J1070" s="333"/>
      <c r="L1070" s="334"/>
      <c r="P1070" s="335"/>
    </row>
    <row r="1071" ht="15.75" customHeight="1">
      <c r="E1071" s="331"/>
      <c r="F1071" s="332"/>
      <c r="G1071" s="332"/>
      <c r="J1071" s="333"/>
      <c r="L1071" s="334"/>
      <c r="P1071" s="335"/>
    </row>
    <row r="1072" ht="15.75" customHeight="1">
      <c r="E1072" s="331"/>
      <c r="F1072" s="332"/>
      <c r="G1072" s="332"/>
      <c r="J1072" s="333"/>
      <c r="L1072" s="334"/>
      <c r="P1072" s="335"/>
    </row>
    <row r="1073" ht="15.75" customHeight="1">
      <c r="E1073" s="331"/>
      <c r="F1073" s="332"/>
      <c r="G1073" s="332"/>
      <c r="J1073" s="333"/>
      <c r="L1073" s="334"/>
      <c r="P1073" s="335"/>
    </row>
    <row r="1074" ht="15.75" customHeight="1">
      <c r="E1074" s="331"/>
      <c r="F1074" s="332"/>
      <c r="G1074" s="332"/>
      <c r="J1074" s="333"/>
      <c r="L1074" s="334"/>
      <c r="P1074" s="335"/>
    </row>
    <row r="1075" ht="15.75" customHeight="1">
      <c r="E1075" s="331"/>
      <c r="F1075" s="332"/>
      <c r="G1075" s="332"/>
      <c r="J1075" s="333"/>
      <c r="L1075" s="334"/>
      <c r="P1075" s="335"/>
    </row>
    <row r="1076" ht="15.75" customHeight="1">
      <c r="E1076" s="331"/>
      <c r="F1076" s="332"/>
      <c r="G1076" s="332"/>
      <c r="J1076" s="333"/>
      <c r="L1076" s="334"/>
      <c r="P1076" s="335"/>
    </row>
    <row r="1077" ht="15.75" customHeight="1">
      <c r="E1077" s="331"/>
      <c r="F1077" s="332"/>
      <c r="G1077" s="332"/>
      <c r="J1077" s="333"/>
      <c r="L1077" s="334"/>
      <c r="P1077" s="335"/>
    </row>
    <row r="1078" ht="15.75" customHeight="1">
      <c r="E1078" s="331"/>
      <c r="F1078" s="332"/>
      <c r="G1078" s="332"/>
      <c r="J1078" s="333"/>
      <c r="L1078" s="334"/>
      <c r="P1078" s="335"/>
    </row>
    <row r="1079" ht="15.75" customHeight="1">
      <c r="E1079" s="331"/>
      <c r="F1079" s="332"/>
      <c r="G1079" s="332"/>
      <c r="J1079" s="333"/>
      <c r="L1079" s="334"/>
      <c r="P1079" s="335"/>
    </row>
    <row r="1080" ht="15.75" customHeight="1">
      <c r="E1080" s="331"/>
      <c r="F1080" s="332"/>
      <c r="G1080" s="332"/>
      <c r="J1080" s="333"/>
      <c r="L1080" s="334"/>
      <c r="P1080" s="335"/>
    </row>
    <row r="1081" ht="15.75" customHeight="1">
      <c r="E1081" s="331"/>
      <c r="F1081" s="332"/>
      <c r="G1081" s="332"/>
      <c r="J1081" s="333"/>
      <c r="L1081" s="334"/>
      <c r="P1081" s="335"/>
    </row>
    <row r="1082" ht="15.75" customHeight="1">
      <c r="E1082" s="331"/>
      <c r="F1082" s="332"/>
      <c r="G1082" s="332"/>
      <c r="J1082" s="333"/>
      <c r="L1082" s="334"/>
      <c r="P1082" s="335"/>
    </row>
    <row r="1083" ht="15.75" customHeight="1">
      <c r="E1083" s="331"/>
      <c r="F1083" s="332"/>
      <c r="G1083" s="332"/>
      <c r="J1083" s="333"/>
      <c r="L1083" s="334"/>
      <c r="P1083" s="335"/>
    </row>
    <row r="1084" ht="15.75" customHeight="1">
      <c r="E1084" s="331"/>
      <c r="F1084" s="332"/>
      <c r="G1084" s="332"/>
      <c r="J1084" s="333"/>
      <c r="L1084" s="334"/>
      <c r="P1084" s="335"/>
    </row>
    <row r="1085" ht="15.75" customHeight="1">
      <c r="E1085" s="331"/>
      <c r="F1085" s="332"/>
      <c r="G1085" s="332"/>
      <c r="J1085" s="333"/>
      <c r="L1085" s="334"/>
      <c r="P1085" s="335"/>
    </row>
    <row r="1086" ht="15.75" customHeight="1">
      <c r="E1086" s="331"/>
      <c r="F1086" s="332"/>
      <c r="G1086" s="332"/>
      <c r="J1086" s="333"/>
      <c r="L1086" s="334"/>
      <c r="P1086" s="335"/>
    </row>
    <row r="1087" ht="15.75" customHeight="1">
      <c r="E1087" s="331"/>
      <c r="F1087" s="332"/>
      <c r="G1087" s="332"/>
      <c r="J1087" s="333"/>
      <c r="L1087" s="334"/>
      <c r="P1087" s="335"/>
    </row>
    <row r="1088" ht="15.75" customHeight="1">
      <c r="E1088" s="331"/>
      <c r="F1088" s="332"/>
      <c r="G1088" s="332"/>
      <c r="J1088" s="333"/>
      <c r="L1088" s="334"/>
      <c r="P1088" s="335"/>
    </row>
    <row r="1089" ht="15.75" customHeight="1">
      <c r="E1089" s="331"/>
      <c r="F1089" s="332"/>
      <c r="G1089" s="332"/>
      <c r="J1089" s="333"/>
      <c r="L1089" s="334"/>
      <c r="P1089" s="335"/>
    </row>
    <row r="1090" ht="15.75" customHeight="1">
      <c r="E1090" s="331"/>
      <c r="F1090" s="332"/>
      <c r="G1090" s="332"/>
      <c r="J1090" s="333"/>
      <c r="L1090" s="334"/>
      <c r="P1090" s="335"/>
    </row>
    <row r="1091" ht="15.75" customHeight="1">
      <c r="E1091" s="331"/>
      <c r="F1091" s="332"/>
      <c r="G1091" s="332"/>
      <c r="J1091" s="333"/>
      <c r="L1091" s="334"/>
      <c r="P1091" s="335"/>
    </row>
    <row r="1092" ht="15.75" customHeight="1">
      <c r="E1092" s="331"/>
      <c r="F1092" s="332"/>
      <c r="G1092" s="332"/>
      <c r="J1092" s="333"/>
      <c r="L1092" s="334"/>
      <c r="P1092" s="335"/>
    </row>
    <row r="1093" ht="15.75" customHeight="1">
      <c r="E1093" s="331"/>
      <c r="F1093" s="332"/>
      <c r="G1093" s="332"/>
      <c r="J1093" s="333"/>
      <c r="L1093" s="334"/>
      <c r="P1093" s="335"/>
    </row>
    <row r="1094" ht="15.75" customHeight="1">
      <c r="E1094" s="331"/>
      <c r="F1094" s="332"/>
      <c r="G1094" s="332"/>
      <c r="J1094" s="333"/>
      <c r="L1094" s="334"/>
      <c r="P1094" s="335"/>
    </row>
    <row r="1095" ht="15.75" customHeight="1">
      <c r="E1095" s="331"/>
      <c r="F1095" s="332"/>
      <c r="G1095" s="332"/>
      <c r="J1095" s="333"/>
      <c r="L1095" s="334"/>
      <c r="P1095" s="335"/>
    </row>
    <row r="1096" ht="15.75" customHeight="1">
      <c r="E1096" s="331"/>
      <c r="F1096" s="332"/>
      <c r="G1096" s="332"/>
      <c r="J1096" s="333"/>
      <c r="L1096" s="334"/>
      <c r="P1096" s="335"/>
    </row>
    <row r="1097" ht="15.75" customHeight="1">
      <c r="E1097" s="331"/>
      <c r="F1097" s="332"/>
      <c r="G1097" s="332"/>
      <c r="J1097" s="333"/>
      <c r="L1097" s="334"/>
      <c r="P1097" s="335"/>
    </row>
    <row r="1098" ht="15.75" customHeight="1">
      <c r="E1098" s="331"/>
      <c r="F1098" s="332"/>
      <c r="G1098" s="332"/>
      <c r="J1098" s="333"/>
      <c r="L1098" s="334"/>
      <c r="P1098" s="335"/>
    </row>
    <row r="1099" ht="15.75" customHeight="1">
      <c r="E1099" s="331"/>
      <c r="F1099" s="332"/>
      <c r="G1099" s="332"/>
      <c r="J1099" s="333"/>
      <c r="L1099" s="334"/>
      <c r="P1099" s="335"/>
    </row>
    <row r="1100" ht="15.75" customHeight="1">
      <c r="E1100" s="331"/>
      <c r="F1100" s="332"/>
      <c r="G1100" s="332"/>
      <c r="J1100" s="333"/>
      <c r="L1100" s="334"/>
      <c r="P1100" s="335"/>
    </row>
    <row r="1101" ht="15.75" customHeight="1">
      <c r="E1101" s="331"/>
      <c r="F1101" s="332"/>
      <c r="G1101" s="332"/>
      <c r="J1101" s="333"/>
      <c r="L1101" s="334"/>
      <c r="P1101" s="335"/>
    </row>
    <row r="1102" ht="15.75" customHeight="1">
      <c r="E1102" s="331"/>
      <c r="F1102" s="332"/>
      <c r="G1102" s="332"/>
      <c r="J1102" s="333"/>
      <c r="L1102" s="334"/>
      <c r="P1102" s="335"/>
    </row>
    <row r="1103" ht="15.75" customHeight="1">
      <c r="E1103" s="331"/>
      <c r="F1103" s="332"/>
      <c r="G1103" s="332"/>
      <c r="J1103" s="333"/>
      <c r="L1103" s="334"/>
      <c r="P1103" s="335"/>
    </row>
    <row r="1104" ht="15.75" customHeight="1">
      <c r="E1104" s="331"/>
      <c r="F1104" s="332"/>
      <c r="G1104" s="332"/>
      <c r="J1104" s="333"/>
      <c r="L1104" s="334"/>
      <c r="P1104" s="335"/>
    </row>
    <row r="1105" ht="15.75" customHeight="1">
      <c r="E1105" s="331"/>
      <c r="F1105" s="332"/>
      <c r="G1105" s="332"/>
      <c r="J1105" s="333"/>
      <c r="L1105" s="334"/>
      <c r="P1105" s="335"/>
    </row>
    <row r="1106" ht="15.75" customHeight="1">
      <c r="E1106" s="331"/>
      <c r="F1106" s="332"/>
      <c r="G1106" s="332"/>
      <c r="J1106" s="333"/>
      <c r="L1106" s="334"/>
      <c r="P1106" s="335"/>
    </row>
    <row r="1107" ht="15.75" customHeight="1">
      <c r="E1107" s="331"/>
      <c r="F1107" s="332"/>
      <c r="G1107" s="332"/>
      <c r="J1107" s="333"/>
      <c r="L1107" s="334"/>
      <c r="P1107" s="335"/>
    </row>
    <row r="1108" ht="15.75" customHeight="1">
      <c r="E1108" s="331"/>
      <c r="F1108" s="332"/>
      <c r="G1108" s="332"/>
      <c r="J1108" s="333"/>
      <c r="L1108" s="334"/>
      <c r="P1108" s="335"/>
    </row>
    <row r="1109" ht="15.75" customHeight="1">
      <c r="E1109" s="331"/>
      <c r="F1109" s="332"/>
      <c r="G1109" s="332"/>
      <c r="J1109" s="333"/>
      <c r="L1109" s="334"/>
      <c r="P1109" s="335"/>
    </row>
    <row r="1110" ht="15.75" customHeight="1">
      <c r="E1110" s="331"/>
      <c r="F1110" s="332"/>
      <c r="G1110" s="332"/>
      <c r="J1110" s="333"/>
      <c r="L1110" s="334"/>
      <c r="P1110" s="335"/>
    </row>
    <row r="1111" ht="15.75" customHeight="1">
      <c r="E1111" s="331"/>
      <c r="F1111" s="332"/>
      <c r="G1111" s="332"/>
      <c r="J1111" s="333"/>
      <c r="L1111" s="334"/>
      <c r="P1111" s="335"/>
    </row>
    <row r="1112" ht="15.75" customHeight="1">
      <c r="E1112" s="331"/>
      <c r="F1112" s="332"/>
      <c r="G1112" s="332"/>
      <c r="J1112" s="333"/>
      <c r="L1112" s="334"/>
      <c r="P1112" s="335"/>
    </row>
    <row r="1113" ht="15.75" customHeight="1">
      <c r="E1113" s="331"/>
      <c r="F1113" s="332"/>
      <c r="G1113" s="332"/>
      <c r="J1113" s="333"/>
      <c r="L1113" s="334"/>
      <c r="P1113" s="335"/>
    </row>
    <row r="1114" ht="15.75" customHeight="1">
      <c r="E1114" s="331"/>
      <c r="F1114" s="332"/>
      <c r="G1114" s="332"/>
      <c r="J1114" s="333"/>
      <c r="L1114" s="334"/>
      <c r="P1114" s="335"/>
    </row>
    <row r="1115" ht="15.75" customHeight="1">
      <c r="E1115" s="331"/>
      <c r="F1115" s="332"/>
      <c r="G1115" s="332"/>
      <c r="J1115" s="333"/>
      <c r="L1115" s="334"/>
      <c r="P1115" s="335"/>
    </row>
    <row r="1116" ht="15.75" customHeight="1">
      <c r="E1116" s="331"/>
      <c r="F1116" s="332"/>
      <c r="G1116" s="332"/>
      <c r="J1116" s="333"/>
      <c r="L1116" s="334"/>
      <c r="P1116" s="335"/>
    </row>
    <row r="1117" ht="15.75" customHeight="1">
      <c r="E1117" s="331"/>
      <c r="F1117" s="332"/>
      <c r="G1117" s="332"/>
      <c r="J1117" s="333"/>
      <c r="L1117" s="334"/>
      <c r="P1117" s="335"/>
    </row>
    <row r="1118" ht="15.75" customHeight="1">
      <c r="E1118" s="331"/>
      <c r="F1118" s="332"/>
      <c r="G1118" s="332"/>
      <c r="J1118" s="333"/>
      <c r="L1118" s="334"/>
      <c r="P1118" s="335"/>
    </row>
    <row r="1119" ht="15.75" customHeight="1">
      <c r="E1119" s="331"/>
      <c r="F1119" s="332"/>
      <c r="G1119" s="332"/>
      <c r="J1119" s="333"/>
      <c r="L1119" s="334"/>
      <c r="P1119" s="335"/>
    </row>
    <row r="1120" ht="15.75" customHeight="1">
      <c r="E1120" s="331"/>
      <c r="F1120" s="332"/>
      <c r="G1120" s="332"/>
      <c r="J1120" s="333"/>
      <c r="L1120" s="334"/>
      <c r="P1120" s="335"/>
    </row>
    <row r="1121" ht="15.75" customHeight="1">
      <c r="E1121" s="331"/>
      <c r="F1121" s="332"/>
      <c r="G1121" s="332"/>
      <c r="J1121" s="333"/>
      <c r="L1121" s="334"/>
      <c r="P1121" s="335"/>
    </row>
    <row r="1122" ht="15.75" customHeight="1">
      <c r="E1122" s="331"/>
      <c r="F1122" s="332"/>
      <c r="G1122" s="332"/>
      <c r="J1122" s="333"/>
      <c r="L1122" s="334"/>
      <c r="P1122" s="335"/>
    </row>
    <row r="1123" ht="15.75" customHeight="1">
      <c r="E1123" s="331"/>
      <c r="F1123" s="332"/>
      <c r="G1123" s="332"/>
      <c r="J1123" s="333"/>
      <c r="L1123" s="334"/>
      <c r="P1123" s="335"/>
    </row>
    <row r="1124" ht="15.75" customHeight="1">
      <c r="E1124" s="331"/>
      <c r="F1124" s="332"/>
      <c r="G1124" s="332"/>
      <c r="J1124" s="333"/>
      <c r="L1124" s="334"/>
      <c r="P1124" s="335"/>
    </row>
    <row r="1125" ht="15.75" customHeight="1">
      <c r="E1125" s="331"/>
      <c r="F1125" s="332"/>
      <c r="G1125" s="332"/>
      <c r="J1125" s="333"/>
      <c r="L1125" s="334"/>
      <c r="P1125" s="335"/>
    </row>
    <row r="1126" ht="15.75" customHeight="1">
      <c r="E1126" s="331"/>
      <c r="F1126" s="332"/>
      <c r="G1126" s="332"/>
      <c r="J1126" s="333"/>
      <c r="L1126" s="334"/>
      <c r="P1126" s="335"/>
    </row>
    <row r="1127" ht="15.75" customHeight="1">
      <c r="E1127" s="331"/>
      <c r="F1127" s="332"/>
      <c r="G1127" s="332"/>
      <c r="J1127" s="333"/>
      <c r="L1127" s="334"/>
      <c r="P1127" s="335"/>
    </row>
    <row r="1128" ht="15.75" customHeight="1">
      <c r="E1128" s="331"/>
      <c r="F1128" s="332"/>
      <c r="G1128" s="332"/>
      <c r="J1128" s="333"/>
      <c r="L1128" s="334"/>
      <c r="P1128" s="335"/>
    </row>
    <row r="1129" ht="15.75" customHeight="1">
      <c r="E1129" s="331"/>
      <c r="F1129" s="332"/>
      <c r="G1129" s="332"/>
      <c r="J1129" s="333"/>
      <c r="L1129" s="334"/>
      <c r="P1129" s="335"/>
    </row>
    <row r="1130" ht="15.75" customHeight="1">
      <c r="E1130" s="331"/>
      <c r="F1130" s="332"/>
      <c r="G1130" s="332"/>
      <c r="J1130" s="333"/>
      <c r="L1130" s="334"/>
      <c r="P1130" s="335"/>
    </row>
    <row r="1131" ht="15.75" customHeight="1">
      <c r="E1131" s="331"/>
      <c r="F1131" s="332"/>
      <c r="G1131" s="332"/>
      <c r="J1131" s="333"/>
      <c r="L1131" s="334"/>
      <c r="P1131" s="335"/>
    </row>
    <row r="1132" ht="15.75" customHeight="1">
      <c r="E1132" s="331"/>
      <c r="F1132" s="332"/>
      <c r="G1132" s="332"/>
      <c r="J1132" s="333"/>
      <c r="L1132" s="334"/>
      <c r="P1132" s="335"/>
    </row>
    <row r="1133" ht="15.75" customHeight="1">
      <c r="E1133" s="331"/>
      <c r="F1133" s="332"/>
      <c r="G1133" s="332"/>
      <c r="J1133" s="333"/>
      <c r="L1133" s="334"/>
      <c r="P1133" s="335"/>
    </row>
    <row r="1134" ht="15.75" customHeight="1">
      <c r="E1134" s="331"/>
      <c r="F1134" s="332"/>
      <c r="G1134" s="332"/>
      <c r="J1134" s="333"/>
      <c r="L1134" s="334"/>
      <c r="P1134" s="335"/>
    </row>
    <row r="1135" ht="15.75" customHeight="1">
      <c r="E1135" s="331"/>
      <c r="F1135" s="332"/>
      <c r="G1135" s="332"/>
      <c r="J1135" s="333"/>
      <c r="L1135" s="334"/>
      <c r="P1135" s="335"/>
    </row>
    <row r="1136" ht="15.75" customHeight="1">
      <c r="E1136" s="331"/>
      <c r="F1136" s="332"/>
      <c r="G1136" s="332"/>
      <c r="J1136" s="333"/>
      <c r="L1136" s="334"/>
      <c r="P1136" s="335"/>
    </row>
    <row r="1137" ht="15.75" customHeight="1">
      <c r="E1137" s="331"/>
      <c r="F1137" s="332"/>
      <c r="G1137" s="332"/>
      <c r="J1137" s="333"/>
      <c r="L1137" s="334"/>
      <c r="P1137" s="335"/>
    </row>
    <row r="1138" ht="15.75" customHeight="1">
      <c r="E1138" s="331"/>
      <c r="F1138" s="332"/>
      <c r="G1138" s="332"/>
      <c r="J1138" s="333"/>
      <c r="L1138" s="334"/>
      <c r="P1138" s="335"/>
    </row>
    <row r="1139" ht="15.75" customHeight="1">
      <c r="E1139" s="331"/>
      <c r="F1139" s="332"/>
      <c r="G1139" s="332"/>
      <c r="J1139" s="333"/>
      <c r="L1139" s="334"/>
      <c r="P1139" s="335"/>
    </row>
    <row r="1140" ht="15.75" customHeight="1">
      <c r="E1140" s="331"/>
      <c r="F1140" s="332"/>
      <c r="G1140" s="332"/>
      <c r="J1140" s="333"/>
      <c r="L1140" s="334"/>
      <c r="P1140" s="335"/>
    </row>
    <row r="1141" ht="15.75" customHeight="1">
      <c r="E1141" s="331"/>
      <c r="F1141" s="332"/>
      <c r="G1141" s="332"/>
      <c r="J1141" s="333"/>
      <c r="L1141" s="334"/>
      <c r="P1141" s="335"/>
    </row>
    <row r="1142" ht="15.75" customHeight="1">
      <c r="E1142" s="331"/>
      <c r="F1142" s="332"/>
      <c r="G1142" s="332"/>
      <c r="J1142" s="333"/>
      <c r="L1142" s="334"/>
      <c r="P1142" s="335"/>
    </row>
    <row r="1143" ht="15.75" customHeight="1">
      <c r="E1143" s="331"/>
      <c r="F1143" s="332"/>
      <c r="G1143" s="332"/>
      <c r="J1143" s="333"/>
      <c r="L1143" s="334"/>
      <c r="P1143" s="335"/>
    </row>
    <row r="1144" ht="15.75" customHeight="1">
      <c r="E1144" s="331"/>
      <c r="F1144" s="332"/>
      <c r="G1144" s="332"/>
      <c r="J1144" s="333"/>
      <c r="L1144" s="334"/>
      <c r="P1144" s="335"/>
    </row>
    <row r="1145" ht="15.75" customHeight="1">
      <c r="E1145" s="331"/>
      <c r="F1145" s="332"/>
      <c r="G1145" s="332"/>
      <c r="J1145" s="333"/>
      <c r="L1145" s="334"/>
      <c r="P1145" s="335"/>
    </row>
    <row r="1146" ht="15.75" customHeight="1">
      <c r="E1146" s="331"/>
      <c r="F1146" s="332"/>
      <c r="G1146" s="332"/>
      <c r="J1146" s="333"/>
      <c r="L1146" s="334"/>
      <c r="P1146" s="335"/>
    </row>
    <row r="1147" ht="15.75" customHeight="1">
      <c r="E1147" s="331"/>
      <c r="F1147" s="332"/>
      <c r="G1147" s="332"/>
      <c r="J1147" s="333"/>
      <c r="L1147" s="334"/>
      <c r="P1147" s="335"/>
    </row>
    <row r="1148" ht="15.75" customHeight="1">
      <c r="E1148" s="331"/>
      <c r="F1148" s="332"/>
      <c r="G1148" s="332"/>
      <c r="J1148" s="333"/>
      <c r="L1148" s="334"/>
      <c r="P1148" s="335"/>
    </row>
    <row r="1149" ht="15.75" customHeight="1">
      <c r="E1149" s="331"/>
      <c r="F1149" s="332"/>
      <c r="G1149" s="332"/>
      <c r="J1149" s="333"/>
      <c r="L1149" s="334"/>
      <c r="P1149" s="335"/>
    </row>
    <row r="1150" ht="15.75" customHeight="1">
      <c r="E1150" s="331"/>
      <c r="F1150" s="332"/>
      <c r="G1150" s="332"/>
      <c r="J1150" s="333"/>
      <c r="L1150" s="334"/>
      <c r="P1150" s="335"/>
    </row>
    <row r="1151" ht="15.75" customHeight="1">
      <c r="E1151" s="331"/>
      <c r="F1151" s="332"/>
      <c r="G1151" s="332"/>
      <c r="J1151" s="333"/>
      <c r="L1151" s="334"/>
      <c r="P1151" s="335"/>
    </row>
    <row r="1152" ht="15.75" customHeight="1">
      <c r="E1152" s="331"/>
      <c r="F1152" s="332"/>
      <c r="G1152" s="332"/>
      <c r="J1152" s="333"/>
      <c r="L1152" s="334"/>
      <c r="P1152" s="335"/>
    </row>
    <row r="1153" ht="15.75" customHeight="1">
      <c r="E1153" s="331"/>
      <c r="F1153" s="332"/>
      <c r="G1153" s="332"/>
      <c r="J1153" s="333"/>
      <c r="L1153" s="334"/>
      <c r="P1153" s="335"/>
    </row>
    <row r="1154" ht="15.75" customHeight="1">
      <c r="E1154" s="331"/>
      <c r="F1154" s="332"/>
      <c r="G1154" s="332"/>
      <c r="J1154" s="333"/>
      <c r="L1154" s="334"/>
      <c r="P1154" s="335"/>
    </row>
    <row r="1155" ht="15.75" customHeight="1">
      <c r="E1155" s="331"/>
      <c r="F1155" s="332"/>
      <c r="G1155" s="332"/>
      <c r="J1155" s="333"/>
      <c r="L1155" s="334"/>
      <c r="P1155" s="335"/>
    </row>
    <row r="1156" ht="15.75" customHeight="1">
      <c r="E1156" s="331"/>
      <c r="F1156" s="332"/>
      <c r="G1156" s="332"/>
      <c r="J1156" s="333"/>
      <c r="L1156" s="334"/>
      <c r="P1156" s="335"/>
    </row>
    <row r="1157" ht="15.75" customHeight="1">
      <c r="E1157" s="331"/>
      <c r="F1157" s="332"/>
      <c r="G1157" s="332"/>
      <c r="J1157" s="333"/>
      <c r="L1157" s="334"/>
      <c r="P1157" s="335"/>
    </row>
    <row r="1158" ht="15.75" customHeight="1">
      <c r="E1158" s="331"/>
      <c r="F1158" s="332"/>
      <c r="G1158" s="332"/>
      <c r="J1158" s="333"/>
      <c r="L1158" s="334"/>
      <c r="P1158" s="335"/>
    </row>
    <row r="1159" ht="15.75" customHeight="1">
      <c r="E1159" s="331"/>
      <c r="F1159" s="332"/>
      <c r="G1159" s="332"/>
      <c r="J1159" s="333"/>
      <c r="L1159" s="334"/>
      <c r="P1159" s="335"/>
    </row>
    <row r="1160" ht="15.75" customHeight="1">
      <c r="E1160" s="331"/>
      <c r="F1160" s="332"/>
      <c r="G1160" s="332"/>
      <c r="J1160" s="333"/>
      <c r="L1160" s="334"/>
      <c r="P1160" s="335"/>
    </row>
    <row r="1161" ht="15.75" customHeight="1">
      <c r="E1161" s="331"/>
      <c r="F1161" s="332"/>
      <c r="G1161" s="332"/>
      <c r="J1161" s="333"/>
      <c r="L1161" s="334"/>
      <c r="P1161" s="335"/>
    </row>
    <row r="1162" ht="15.75" customHeight="1">
      <c r="E1162" s="331"/>
      <c r="F1162" s="332"/>
      <c r="G1162" s="332"/>
      <c r="J1162" s="333"/>
      <c r="L1162" s="334"/>
      <c r="P1162" s="335"/>
    </row>
    <row r="1163" ht="15.75" customHeight="1">
      <c r="E1163" s="331"/>
      <c r="F1163" s="332"/>
      <c r="G1163" s="332"/>
      <c r="J1163" s="333"/>
      <c r="L1163" s="334"/>
      <c r="P1163" s="335"/>
    </row>
    <row r="1164" ht="15.75" customHeight="1">
      <c r="E1164" s="331"/>
      <c r="F1164" s="332"/>
      <c r="G1164" s="332"/>
      <c r="J1164" s="333"/>
      <c r="L1164" s="334"/>
      <c r="P1164" s="335"/>
    </row>
    <row r="1165" ht="15.75" customHeight="1">
      <c r="E1165" s="331"/>
      <c r="F1165" s="332"/>
      <c r="G1165" s="332"/>
      <c r="J1165" s="333"/>
      <c r="L1165" s="334"/>
      <c r="P1165" s="335"/>
    </row>
    <row r="1166" ht="15.75" customHeight="1">
      <c r="E1166" s="331"/>
      <c r="F1166" s="332"/>
      <c r="G1166" s="332"/>
      <c r="J1166" s="333"/>
      <c r="L1166" s="334"/>
      <c r="P1166" s="335"/>
    </row>
    <row r="1167" ht="15.75" customHeight="1">
      <c r="E1167" s="331"/>
      <c r="F1167" s="332"/>
      <c r="G1167" s="332"/>
      <c r="J1167" s="333"/>
      <c r="L1167" s="334"/>
      <c r="P1167" s="335"/>
    </row>
    <row r="1168" ht="15.75" customHeight="1">
      <c r="E1168" s="331"/>
      <c r="F1168" s="332"/>
      <c r="G1168" s="332"/>
      <c r="J1168" s="333"/>
      <c r="L1168" s="334"/>
      <c r="P1168" s="335"/>
    </row>
    <row r="1169" ht="15.75" customHeight="1">
      <c r="E1169" s="331"/>
      <c r="F1169" s="332"/>
      <c r="G1169" s="332"/>
      <c r="J1169" s="333"/>
      <c r="L1169" s="334"/>
      <c r="P1169" s="335"/>
    </row>
    <row r="1170" ht="15.75" customHeight="1">
      <c r="E1170" s="331"/>
      <c r="F1170" s="332"/>
      <c r="G1170" s="332"/>
      <c r="J1170" s="333"/>
      <c r="L1170" s="334"/>
      <c r="P1170" s="335"/>
    </row>
    <row r="1171" ht="15.75" customHeight="1">
      <c r="E1171" s="331"/>
      <c r="F1171" s="332"/>
      <c r="G1171" s="332"/>
      <c r="J1171" s="333"/>
      <c r="L1171" s="334"/>
      <c r="P1171" s="335"/>
    </row>
    <row r="1172" ht="15.75" customHeight="1">
      <c r="E1172" s="331"/>
      <c r="F1172" s="332"/>
      <c r="G1172" s="332"/>
      <c r="J1172" s="333"/>
      <c r="L1172" s="334"/>
      <c r="P1172" s="335"/>
    </row>
    <row r="1173" ht="15.75" customHeight="1">
      <c r="E1173" s="331"/>
      <c r="F1173" s="332"/>
      <c r="G1173" s="332"/>
      <c r="J1173" s="333"/>
      <c r="L1173" s="334"/>
      <c r="P1173" s="335"/>
    </row>
    <row r="1174" ht="15.75" customHeight="1">
      <c r="E1174" s="331"/>
      <c r="F1174" s="332"/>
      <c r="G1174" s="332"/>
      <c r="J1174" s="333"/>
      <c r="L1174" s="334"/>
      <c r="P1174" s="335"/>
    </row>
    <row r="1175" ht="15.75" customHeight="1">
      <c r="E1175" s="331"/>
      <c r="F1175" s="332"/>
      <c r="G1175" s="332"/>
      <c r="J1175" s="333"/>
      <c r="L1175" s="334"/>
      <c r="P1175" s="335"/>
    </row>
    <row r="1176" ht="15.75" customHeight="1">
      <c r="E1176" s="331"/>
      <c r="F1176" s="332"/>
      <c r="G1176" s="332"/>
      <c r="J1176" s="333"/>
      <c r="L1176" s="334"/>
      <c r="P1176" s="335"/>
    </row>
    <row r="1177" ht="15.75" customHeight="1">
      <c r="E1177" s="331"/>
      <c r="F1177" s="332"/>
      <c r="G1177" s="332"/>
      <c r="J1177" s="333"/>
      <c r="L1177" s="334"/>
      <c r="P1177" s="335"/>
    </row>
    <row r="1178" ht="15.75" customHeight="1">
      <c r="E1178" s="331"/>
      <c r="F1178" s="332"/>
      <c r="G1178" s="332"/>
      <c r="J1178" s="333"/>
      <c r="L1178" s="334"/>
      <c r="P1178" s="335"/>
    </row>
    <row r="1179" ht="15.75" customHeight="1">
      <c r="E1179" s="331"/>
      <c r="F1179" s="332"/>
      <c r="G1179" s="332"/>
      <c r="J1179" s="333"/>
      <c r="L1179" s="334"/>
      <c r="P1179" s="335"/>
    </row>
    <row r="1180" ht="15.75" customHeight="1">
      <c r="E1180" s="331"/>
      <c r="F1180" s="332"/>
      <c r="G1180" s="332"/>
      <c r="J1180" s="333"/>
      <c r="L1180" s="334"/>
      <c r="P1180" s="335"/>
    </row>
    <row r="1181" ht="15.75" customHeight="1">
      <c r="E1181" s="331"/>
      <c r="F1181" s="332"/>
      <c r="G1181" s="332"/>
      <c r="J1181" s="333"/>
      <c r="L1181" s="334"/>
      <c r="P1181" s="335"/>
    </row>
    <row r="1182" ht="15.75" customHeight="1">
      <c r="E1182" s="331"/>
      <c r="F1182" s="332"/>
      <c r="G1182" s="332"/>
      <c r="J1182" s="333"/>
      <c r="L1182" s="334"/>
      <c r="P1182" s="335"/>
    </row>
    <row r="1183" ht="15.75" customHeight="1">
      <c r="E1183" s="331"/>
      <c r="F1183" s="332"/>
      <c r="G1183" s="332"/>
      <c r="J1183" s="333"/>
      <c r="L1183" s="334"/>
      <c r="P1183" s="335"/>
    </row>
    <row r="1184" ht="15.75" customHeight="1">
      <c r="E1184" s="331"/>
      <c r="F1184" s="332"/>
      <c r="G1184" s="332"/>
      <c r="J1184" s="333"/>
      <c r="L1184" s="334"/>
      <c r="P1184" s="335"/>
    </row>
    <row r="1185" ht="15.75" customHeight="1">
      <c r="E1185" s="331"/>
      <c r="F1185" s="332"/>
      <c r="G1185" s="332"/>
      <c r="J1185" s="333"/>
      <c r="L1185" s="334"/>
      <c r="P1185" s="335"/>
    </row>
    <row r="1186" ht="15.75" customHeight="1">
      <c r="E1186" s="331"/>
      <c r="F1186" s="332"/>
      <c r="G1186" s="332"/>
      <c r="J1186" s="333"/>
      <c r="L1186" s="334"/>
      <c r="P1186" s="335"/>
    </row>
    <row r="1187" ht="15.75" customHeight="1">
      <c r="E1187" s="331"/>
      <c r="F1187" s="332"/>
      <c r="G1187" s="332"/>
      <c r="J1187" s="333"/>
      <c r="L1187" s="334"/>
      <c r="P1187" s="335"/>
    </row>
    <row r="1188" ht="15.75" customHeight="1">
      <c r="E1188" s="331"/>
      <c r="F1188" s="332"/>
      <c r="G1188" s="332"/>
      <c r="J1188" s="333"/>
      <c r="L1188" s="334"/>
      <c r="P1188" s="335"/>
    </row>
    <row r="1189" ht="15.75" customHeight="1">
      <c r="E1189" s="331"/>
      <c r="F1189" s="332"/>
      <c r="G1189" s="332"/>
      <c r="J1189" s="333"/>
      <c r="L1189" s="334"/>
      <c r="P1189" s="335"/>
    </row>
    <row r="1190" ht="15.75" customHeight="1">
      <c r="E1190" s="331"/>
      <c r="F1190" s="332"/>
      <c r="G1190" s="332"/>
      <c r="J1190" s="333"/>
      <c r="L1190" s="334"/>
      <c r="P1190" s="335"/>
    </row>
    <row r="1191" ht="15.75" customHeight="1">
      <c r="E1191" s="331"/>
      <c r="F1191" s="332"/>
      <c r="G1191" s="332"/>
      <c r="J1191" s="333"/>
      <c r="L1191" s="334"/>
      <c r="P1191" s="335"/>
    </row>
    <row r="1192" ht="15.75" customHeight="1">
      <c r="E1192" s="331"/>
      <c r="F1192" s="332"/>
      <c r="G1192" s="332"/>
      <c r="J1192" s="333"/>
      <c r="L1192" s="334"/>
      <c r="P1192" s="335"/>
    </row>
    <row r="1193" ht="15.75" customHeight="1">
      <c r="E1193" s="331"/>
      <c r="F1193" s="332"/>
      <c r="G1193" s="332"/>
      <c r="J1193" s="333"/>
      <c r="L1193" s="334"/>
      <c r="P1193" s="335"/>
    </row>
    <row r="1194" ht="15.75" customHeight="1">
      <c r="E1194" s="331"/>
      <c r="F1194" s="332"/>
      <c r="G1194" s="332"/>
      <c r="J1194" s="333"/>
      <c r="L1194" s="334"/>
      <c r="P1194" s="335"/>
    </row>
    <row r="1195" ht="15.75" customHeight="1">
      <c r="E1195" s="331"/>
      <c r="F1195" s="332"/>
      <c r="G1195" s="332"/>
      <c r="J1195" s="333"/>
      <c r="L1195" s="334"/>
      <c r="P1195" s="335"/>
    </row>
    <row r="1196" ht="15.75" customHeight="1">
      <c r="E1196" s="331"/>
      <c r="F1196" s="332"/>
      <c r="G1196" s="332"/>
      <c r="J1196" s="333"/>
      <c r="L1196" s="334"/>
      <c r="P1196" s="335"/>
    </row>
    <row r="1197" ht="15.75" customHeight="1">
      <c r="E1197" s="331"/>
      <c r="F1197" s="332"/>
      <c r="G1197" s="332"/>
      <c r="J1197" s="333"/>
      <c r="L1197" s="334"/>
      <c r="P1197" s="335"/>
    </row>
    <row r="1198" ht="15.75" customHeight="1">
      <c r="E1198" s="331"/>
      <c r="F1198" s="332"/>
      <c r="G1198" s="332"/>
      <c r="J1198" s="333"/>
      <c r="L1198" s="334"/>
      <c r="P1198" s="335"/>
    </row>
    <row r="1199" ht="15.75" customHeight="1">
      <c r="E1199" s="331"/>
      <c r="F1199" s="332"/>
      <c r="G1199" s="332"/>
      <c r="J1199" s="333"/>
      <c r="L1199" s="334"/>
      <c r="P1199" s="335"/>
    </row>
    <row r="1200" ht="15.75" customHeight="1">
      <c r="E1200" s="331"/>
      <c r="F1200" s="332"/>
      <c r="G1200" s="332"/>
      <c r="J1200" s="333"/>
      <c r="L1200" s="334"/>
      <c r="P1200" s="335"/>
    </row>
    <row r="1201" ht="15.75" customHeight="1">
      <c r="E1201" s="331"/>
      <c r="F1201" s="332"/>
      <c r="G1201" s="332"/>
      <c r="J1201" s="333"/>
      <c r="L1201" s="334"/>
      <c r="P1201" s="335"/>
    </row>
    <row r="1202" ht="15.75" customHeight="1">
      <c r="E1202" s="331"/>
      <c r="F1202" s="332"/>
      <c r="G1202" s="332"/>
      <c r="J1202" s="333"/>
      <c r="L1202" s="334"/>
      <c r="P1202" s="335"/>
    </row>
    <row r="1203" ht="15.75" customHeight="1">
      <c r="E1203" s="331"/>
      <c r="F1203" s="332"/>
      <c r="G1203" s="332"/>
      <c r="J1203" s="333"/>
      <c r="L1203" s="334"/>
      <c r="P1203" s="335"/>
    </row>
    <row r="1204" ht="15.75" customHeight="1">
      <c r="E1204" s="331"/>
      <c r="F1204" s="332"/>
      <c r="G1204" s="332"/>
      <c r="J1204" s="333"/>
      <c r="L1204" s="334"/>
      <c r="P1204" s="335"/>
    </row>
    <row r="1205" ht="15.75" customHeight="1">
      <c r="E1205" s="331"/>
      <c r="F1205" s="332"/>
      <c r="G1205" s="332"/>
      <c r="J1205" s="333"/>
      <c r="L1205" s="334"/>
      <c r="P1205" s="335"/>
    </row>
    <row r="1206" ht="15.75" customHeight="1">
      <c r="E1206" s="331"/>
      <c r="F1206" s="332"/>
      <c r="G1206" s="332"/>
      <c r="J1206" s="333"/>
      <c r="L1206" s="334"/>
      <c r="P1206" s="335"/>
    </row>
    <row r="1207" ht="15.75" customHeight="1">
      <c r="E1207" s="331"/>
      <c r="F1207" s="332"/>
      <c r="G1207" s="332"/>
      <c r="J1207" s="333"/>
      <c r="L1207" s="334"/>
      <c r="P1207" s="335"/>
    </row>
    <row r="1208" ht="15.75" customHeight="1">
      <c r="E1208" s="331"/>
      <c r="F1208" s="332"/>
      <c r="G1208" s="332"/>
      <c r="J1208" s="333"/>
      <c r="L1208" s="334"/>
      <c r="P1208" s="335"/>
    </row>
    <row r="1209" ht="15.75" customHeight="1">
      <c r="E1209" s="331"/>
      <c r="F1209" s="332"/>
      <c r="G1209" s="332"/>
      <c r="J1209" s="333"/>
      <c r="L1209" s="334"/>
      <c r="P1209" s="335"/>
    </row>
    <row r="1210" ht="15.75" customHeight="1">
      <c r="E1210" s="331"/>
      <c r="F1210" s="332"/>
      <c r="G1210" s="332"/>
      <c r="J1210" s="333"/>
      <c r="L1210" s="334"/>
      <c r="P1210" s="335"/>
    </row>
    <row r="1211" ht="15.75" customHeight="1">
      <c r="E1211" s="331"/>
      <c r="F1211" s="332"/>
      <c r="G1211" s="332"/>
      <c r="J1211" s="333"/>
      <c r="L1211" s="334"/>
      <c r="P1211" s="335"/>
    </row>
    <row r="1212" ht="15.75" customHeight="1">
      <c r="E1212" s="331"/>
      <c r="F1212" s="332"/>
      <c r="G1212" s="332"/>
      <c r="J1212" s="333"/>
      <c r="L1212" s="334"/>
      <c r="P1212" s="335"/>
    </row>
    <row r="1213" ht="15.75" customHeight="1">
      <c r="E1213" s="331"/>
      <c r="F1213" s="332"/>
      <c r="G1213" s="332"/>
      <c r="J1213" s="333"/>
      <c r="L1213" s="334"/>
      <c r="P1213" s="335"/>
    </row>
    <row r="1214" ht="15.75" customHeight="1">
      <c r="E1214" s="331"/>
      <c r="F1214" s="332"/>
      <c r="G1214" s="332"/>
      <c r="J1214" s="333"/>
      <c r="L1214" s="334"/>
      <c r="P1214" s="335"/>
    </row>
    <row r="1215" ht="15.75" customHeight="1">
      <c r="E1215" s="331"/>
      <c r="F1215" s="332"/>
      <c r="G1215" s="332"/>
      <c r="J1215" s="333"/>
      <c r="L1215" s="334"/>
      <c r="P1215" s="335"/>
    </row>
    <row r="1216" ht="15.75" customHeight="1">
      <c r="E1216" s="331"/>
      <c r="F1216" s="332"/>
      <c r="G1216" s="332"/>
      <c r="J1216" s="333"/>
      <c r="L1216" s="334"/>
      <c r="P1216" s="335"/>
    </row>
    <row r="1217" ht="15.75" customHeight="1">
      <c r="E1217" s="331"/>
      <c r="F1217" s="332"/>
      <c r="G1217" s="332"/>
      <c r="J1217" s="333"/>
      <c r="L1217" s="334"/>
      <c r="P1217" s="335"/>
    </row>
    <row r="1218" ht="15.75" customHeight="1">
      <c r="E1218" s="331"/>
      <c r="F1218" s="332"/>
      <c r="G1218" s="332"/>
      <c r="J1218" s="333"/>
      <c r="L1218" s="334"/>
      <c r="P1218" s="335"/>
    </row>
    <row r="1219" ht="15.75" customHeight="1">
      <c r="E1219" s="331"/>
      <c r="F1219" s="332"/>
      <c r="G1219" s="332"/>
      <c r="J1219" s="333"/>
      <c r="L1219" s="334"/>
      <c r="P1219" s="335"/>
    </row>
    <row r="1220" ht="15.75" customHeight="1">
      <c r="E1220" s="331"/>
      <c r="F1220" s="332"/>
      <c r="G1220" s="332"/>
      <c r="J1220" s="333"/>
      <c r="L1220" s="334"/>
      <c r="P1220" s="335"/>
    </row>
    <row r="1221" ht="15.75" customHeight="1">
      <c r="E1221" s="331"/>
      <c r="F1221" s="332"/>
      <c r="G1221" s="332"/>
      <c r="J1221" s="333"/>
      <c r="L1221" s="334"/>
      <c r="P1221" s="335"/>
    </row>
    <row r="1222" ht="15.75" customHeight="1">
      <c r="E1222" s="331"/>
      <c r="F1222" s="332"/>
      <c r="G1222" s="332"/>
      <c r="J1222" s="333"/>
      <c r="L1222" s="334"/>
      <c r="P1222" s="335"/>
    </row>
    <row r="1223" ht="15.75" customHeight="1">
      <c r="E1223" s="331"/>
      <c r="F1223" s="332"/>
      <c r="G1223" s="332"/>
      <c r="J1223" s="333"/>
      <c r="L1223" s="334"/>
      <c r="P1223" s="335"/>
    </row>
    <row r="1224" ht="15.75" customHeight="1">
      <c r="E1224" s="331"/>
      <c r="F1224" s="332"/>
      <c r="G1224" s="332"/>
      <c r="J1224" s="333"/>
      <c r="L1224" s="334"/>
      <c r="P1224" s="335"/>
    </row>
    <row r="1225" ht="15.75" customHeight="1">
      <c r="E1225" s="331"/>
      <c r="F1225" s="332"/>
      <c r="G1225" s="332"/>
      <c r="J1225" s="333"/>
      <c r="L1225" s="334"/>
      <c r="P1225" s="335"/>
    </row>
    <row r="1226" ht="15.75" customHeight="1">
      <c r="E1226" s="331"/>
      <c r="F1226" s="332"/>
      <c r="G1226" s="332"/>
      <c r="J1226" s="333"/>
      <c r="L1226" s="334"/>
      <c r="P1226" s="335"/>
    </row>
    <row r="1227" ht="15.75" customHeight="1">
      <c r="E1227" s="331"/>
      <c r="F1227" s="332"/>
      <c r="G1227" s="332"/>
      <c r="J1227" s="333"/>
      <c r="L1227" s="334"/>
      <c r="P1227" s="335"/>
    </row>
    <row r="1228" ht="15.75" customHeight="1">
      <c r="E1228" s="331"/>
      <c r="F1228" s="332"/>
      <c r="G1228" s="332"/>
      <c r="J1228" s="333"/>
      <c r="L1228" s="334"/>
      <c r="P1228" s="335"/>
    </row>
    <row r="1229" ht="15.75" customHeight="1">
      <c r="E1229" s="331"/>
      <c r="F1229" s="332"/>
      <c r="G1229" s="332"/>
      <c r="J1229" s="333"/>
      <c r="L1229" s="334"/>
      <c r="P1229" s="335"/>
    </row>
    <row r="1230" ht="15.75" customHeight="1">
      <c r="E1230" s="331"/>
      <c r="F1230" s="332"/>
      <c r="G1230" s="332"/>
      <c r="J1230" s="333"/>
      <c r="L1230" s="334"/>
      <c r="P1230" s="335"/>
    </row>
    <row r="1231" ht="15.75" customHeight="1">
      <c r="E1231" s="331"/>
      <c r="F1231" s="332"/>
      <c r="G1231" s="332"/>
      <c r="J1231" s="333"/>
      <c r="L1231" s="334"/>
      <c r="P1231" s="335"/>
    </row>
    <row r="1232" ht="15.75" customHeight="1">
      <c r="E1232" s="331"/>
      <c r="F1232" s="332"/>
      <c r="G1232" s="332"/>
      <c r="J1232" s="333"/>
      <c r="L1232" s="334"/>
      <c r="P1232" s="335"/>
    </row>
    <row r="1233" ht="15.75" customHeight="1">
      <c r="E1233" s="331"/>
      <c r="F1233" s="332"/>
      <c r="G1233" s="332"/>
      <c r="J1233" s="333"/>
      <c r="L1233" s="334"/>
      <c r="P1233" s="335"/>
    </row>
    <row r="1234" ht="15.75" customHeight="1">
      <c r="E1234" s="331"/>
      <c r="F1234" s="332"/>
      <c r="G1234" s="332"/>
      <c r="J1234" s="333"/>
      <c r="L1234" s="334"/>
      <c r="P1234" s="335"/>
    </row>
    <row r="1235" ht="15.75" customHeight="1">
      <c r="E1235" s="331"/>
      <c r="F1235" s="332"/>
      <c r="G1235" s="332"/>
      <c r="J1235" s="333"/>
      <c r="L1235" s="334"/>
      <c r="P1235" s="335"/>
    </row>
    <row r="1236" ht="15.75" customHeight="1">
      <c r="E1236" s="331"/>
      <c r="F1236" s="332"/>
      <c r="G1236" s="332"/>
      <c r="J1236" s="333"/>
      <c r="L1236" s="334"/>
      <c r="P1236" s="335"/>
    </row>
    <row r="1237" ht="15.75" customHeight="1">
      <c r="E1237" s="331"/>
      <c r="F1237" s="332"/>
      <c r="G1237" s="332"/>
      <c r="J1237" s="333"/>
      <c r="L1237" s="334"/>
      <c r="P1237" s="335"/>
    </row>
    <row r="1238" ht="15.75" customHeight="1">
      <c r="E1238" s="331"/>
      <c r="F1238" s="332"/>
      <c r="G1238" s="332"/>
      <c r="J1238" s="333"/>
      <c r="L1238" s="334"/>
      <c r="P1238" s="335"/>
    </row>
    <row r="1239" ht="15.75" customHeight="1">
      <c r="E1239" s="331"/>
      <c r="F1239" s="332"/>
      <c r="G1239" s="332"/>
      <c r="J1239" s="333"/>
      <c r="L1239" s="334"/>
      <c r="P1239" s="335"/>
    </row>
    <row r="1240" ht="15.75" customHeight="1">
      <c r="E1240" s="331"/>
      <c r="F1240" s="332"/>
      <c r="G1240" s="332"/>
      <c r="J1240" s="333"/>
      <c r="L1240" s="334"/>
      <c r="P1240" s="335"/>
    </row>
    <row r="1241" ht="15.75" customHeight="1">
      <c r="E1241" s="331"/>
      <c r="F1241" s="332"/>
      <c r="G1241" s="332"/>
      <c r="J1241" s="333"/>
      <c r="L1241" s="334"/>
      <c r="P1241" s="335"/>
    </row>
    <row r="1242" ht="15.75" customHeight="1">
      <c r="E1242" s="331"/>
      <c r="F1242" s="332"/>
      <c r="G1242" s="332"/>
      <c r="J1242" s="333"/>
      <c r="L1242" s="334"/>
      <c r="P1242" s="335"/>
    </row>
    <row r="1243" ht="15.75" customHeight="1">
      <c r="E1243" s="331"/>
      <c r="F1243" s="332"/>
      <c r="G1243" s="332"/>
      <c r="J1243" s="333"/>
      <c r="L1243" s="334"/>
      <c r="P1243" s="335"/>
    </row>
    <row r="1244" ht="15.75" customHeight="1">
      <c r="E1244" s="331"/>
      <c r="F1244" s="332"/>
      <c r="G1244" s="332"/>
      <c r="J1244" s="333"/>
      <c r="L1244" s="334"/>
      <c r="P1244" s="335"/>
    </row>
    <row r="1245" ht="15.75" customHeight="1">
      <c r="E1245" s="331"/>
      <c r="F1245" s="332"/>
      <c r="G1245" s="332"/>
      <c r="J1245" s="333"/>
      <c r="L1245" s="334"/>
      <c r="P1245" s="335"/>
    </row>
    <row r="1246" ht="15.75" customHeight="1">
      <c r="E1246" s="331"/>
      <c r="F1246" s="332"/>
      <c r="G1246" s="332"/>
      <c r="J1246" s="333"/>
      <c r="L1246" s="334"/>
      <c r="P1246" s="335"/>
    </row>
    <row r="1247" ht="15.75" customHeight="1">
      <c r="E1247" s="331"/>
      <c r="F1247" s="332"/>
      <c r="G1247" s="332"/>
      <c r="J1247" s="333"/>
      <c r="L1247" s="334"/>
      <c r="P1247" s="335"/>
    </row>
    <row r="1248" ht="15.75" customHeight="1">
      <c r="E1248" s="331"/>
      <c r="F1248" s="332"/>
      <c r="G1248" s="332"/>
      <c r="J1248" s="333"/>
      <c r="L1248" s="334"/>
      <c r="P1248" s="335"/>
    </row>
    <row r="1249" ht="15.75" customHeight="1">
      <c r="E1249" s="331"/>
      <c r="F1249" s="332"/>
      <c r="G1249" s="332"/>
      <c r="J1249" s="333"/>
      <c r="L1249" s="334"/>
      <c r="P1249" s="335"/>
    </row>
    <row r="1250" ht="15.75" customHeight="1">
      <c r="E1250" s="331"/>
      <c r="F1250" s="332"/>
      <c r="G1250" s="332"/>
      <c r="J1250" s="333"/>
      <c r="L1250" s="334"/>
      <c r="P1250" s="335"/>
    </row>
    <row r="1251" ht="15.75" customHeight="1">
      <c r="E1251" s="331"/>
      <c r="F1251" s="332"/>
      <c r="G1251" s="332"/>
      <c r="J1251" s="333"/>
      <c r="L1251" s="334"/>
      <c r="P1251" s="335"/>
    </row>
    <row r="1252" ht="15.75" customHeight="1">
      <c r="E1252" s="331"/>
      <c r="F1252" s="332"/>
      <c r="G1252" s="332"/>
      <c r="J1252" s="333"/>
      <c r="L1252" s="334"/>
      <c r="P1252" s="335"/>
    </row>
    <row r="1253" ht="15.75" customHeight="1">
      <c r="E1253" s="331"/>
      <c r="F1253" s="332"/>
      <c r="G1253" s="332"/>
      <c r="J1253" s="333"/>
      <c r="L1253" s="334"/>
      <c r="P1253" s="335"/>
    </row>
    <row r="1254" ht="15.75" customHeight="1">
      <c r="E1254" s="331"/>
      <c r="F1254" s="332"/>
      <c r="G1254" s="332"/>
      <c r="J1254" s="333"/>
      <c r="L1254" s="334"/>
      <c r="P1254" s="335"/>
    </row>
    <row r="1255" ht="15.75" customHeight="1">
      <c r="E1255" s="331"/>
      <c r="F1255" s="332"/>
      <c r="G1255" s="332"/>
      <c r="J1255" s="333"/>
      <c r="L1255" s="334"/>
      <c r="P1255" s="335"/>
    </row>
    <row r="1256" ht="15.75" customHeight="1">
      <c r="E1256" s="331"/>
      <c r="F1256" s="332"/>
      <c r="G1256" s="332"/>
      <c r="J1256" s="333"/>
      <c r="L1256" s="334"/>
      <c r="P1256" s="335"/>
    </row>
    <row r="1257" ht="15.75" customHeight="1">
      <c r="E1257" s="331"/>
      <c r="F1257" s="332"/>
      <c r="G1257" s="332"/>
      <c r="J1257" s="333"/>
      <c r="L1257" s="334"/>
      <c r="P1257" s="335"/>
    </row>
    <row r="1258" ht="15.75" customHeight="1">
      <c r="E1258" s="331"/>
      <c r="F1258" s="332"/>
      <c r="G1258" s="332"/>
      <c r="J1258" s="333"/>
      <c r="L1258" s="334"/>
      <c r="P1258" s="335"/>
    </row>
    <row r="1259" ht="15.75" customHeight="1">
      <c r="E1259" s="331"/>
      <c r="F1259" s="332"/>
      <c r="G1259" s="332"/>
      <c r="J1259" s="333"/>
      <c r="L1259" s="334"/>
      <c r="P1259" s="335"/>
    </row>
    <row r="1260" ht="15.75" customHeight="1">
      <c r="E1260" s="331"/>
      <c r="F1260" s="332"/>
      <c r="G1260" s="332"/>
      <c r="J1260" s="333"/>
      <c r="L1260" s="334"/>
      <c r="P1260" s="335"/>
    </row>
    <row r="1261" ht="15.75" customHeight="1">
      <c r="E1261" s="331"/>
      <c r="F1261" s="332"/>
      <c r="G1261" s="332"/>
      <c r="J1261" s="333"/>
      <c r="L1261" s="334"/>
      <c r="P1261" s="335"/>
    </row>
    <row r="1262" ht="15.75" customHeight="1">
      <c r="E1262" s="331"/>
      <c r="F1262" s="332"/>
      <c r="G1262" s="332"/>
      <c r="J1262" s="333"/>
      <c r="L1262" s="334"/>
      <c r="P1262" s="335"/>
    </row>
    <row r="1263" ht="15.75" customHeight="1">
      <c r="E1263" s="331"/>
      <c r="F1263" s="332"/>
      <c r="G1263" s="332"/>
      <c r="J1263" s="333"/>
      <c r="L1263" s="334"/>
      <c r="P1263" s="335"/>
    </row>
    <row r="1264" ht="15.75" customHeight="1">
      <c r="E1264" s="331"/>
      <c r="F1264" s="332"/>
      <c r="G1264" s="332"/>
      <c r="J1264" s="333"/>
      <c r="L1264" s="334"/>
      <c r="P1264" s="335"/>
    </row>
    <row r="1265" ht="15.75" customHeight="1">
      <c r="E1265" s="331"/>
      <c r="F1265" s="332"/>
      <c r="G1265" s="332"/>
      <c r="J1265" s="333"/>
      <c r="L1265" s="334"/>
      <c r="P1265" s="335"/>
    </row>
    <row r="1266" ht="15.75" customHeight="1">
      <c r="E1266" s="331"/>
      <c r="F1266" s="332"/>
      <c r="G1266" s="332"/>
      <c r="J1266" s="333"/>
      <c r="L1266" s="334"/>
      <c r="P1266" s="335"/>
    </row>
    <row r="1267" ht="15.75" customHeight="1">
      <c r="E1267" s="331"/>
      <c r="F1267" s="332"/>
      <c r="G1267" s="332"/>
      <c r="J1267" s="333"/>
      <c r="L1267" s="334"/>
      <c r="P1267" s="335"/>
    </row>
    <row r="1268" ht="15.75" customHeight="1">
      <c r="E1268" s="331"/>
      <c r="F1268" s="332"/>
      <c r="G1268" s="332"/>
      <c r="J1268" s="333"/>
      <c r="L1268" s="334"/>
      <c r="P1268" s="335"/>
    </row>
    <row r="1269" ht="15.75" customHeight="1">
      <c r="E1269" s="331"/>
      <c r="F1269" s="332"/>
      <c r="G1269" s="332"/>
      <c r="J1269" s="333"/>
      <c r="L1269" s="334"/>
      <c r="P1269" s="335"/>
    </row>
    <row r="1270" ht="15.75" customHeight="1">
      <c r="E1270" s="331"/>
      <c r="F1270" s="332"/>
      <c r="G1270" s="332"/>
      <c r="J1270" s="333"/>
      <c r="L1270" s="334"/>
      <c r="P1270" s="335"/>
    </row>
    <row r="1271" ht="15.75" customHeight="1">
      <c r="E1271" s="331"/>
      <c r="F1271" s="332"/>
      <c r="G1271" s="332"/>
      <c r="J1271" s="333"/>
      <c r="L1271" s="334"/>
      <c r="P1271" s="335"/>
    </row>
    <row r="1272" ht="15.75" customHeight="1">
      <c r="E1272" s="331"/>
      <c r="F1272" s="332"/>
      <c r="G1272" s="332"/>
      <c r="J1272" s="333"/>
      <c r="L1272" s="334"/>
      <c r="P1272" s="335"/>
    </row>
    <row r="1273" ht="15.75" customHeight="1">
      <c r="E1273" s="331"/>
      <c r="F1273" s="332"/>
      <c r="G1273" s="332"/>
      <c r="J1273" s="333"/>
      <c r="L1273" s="334"/>
      <c r="P1273" s="335"/>
    </row>
    <row r="1274" ht="15.75" customHeight="1">
      <c r="E1274" s="331"/>
      <c r="F1274" s="332"/>
      <c r="G1274" s="332"/>
      <c r="J1274" s="333"/>
      <c r="L1274" s="334"/>
      <c r="P1274" s="335"/>
    </row>
    <row r="1275" ht="15.75" customHeight="1">
      <c r="E1275" s="331"/>
      <c r="F1275" s="332"/>
      <c r="G1275" s="332"/>
      <c r="J1275" s="333"/>
      <c r="L1275" s="334"/>
      <c r="P1275" s="335"/>
    </row>
    <row r="1276" ht="15.75" customHeight="1">
      <c r="E1276" s="331"/>
      <c r="F1276" s="332"/>
      <c r="G1276" s="332"/>
      <c r="J1276" s="333"/>
      <c r="L1276" s="334"/>
      <c r="P1276" s="335"/>
    </row>
    <row r="1277" ht="15.75" customHeight="1">
      <c r="E1277" s="331"/>
      <c r="F1277" s="332"/>
      <c r="G1277" s="332"/>
      <c r="J1277" s="333"/>
      <c r="L1277" s="334"/>
      <c r="P1277" s="335"/>
    </row>
    <row r="1278" ht="15.75" customHeight="1">
      <c r="E1278" s="331"/>
      <c r="F1278" s="332"/>
      <c r="G1278" s="332"/>
      <c r="J1278" s="333"/>
      <c r="L1278" s="334"/>
      <c r="P1278" s="335"/>
    </row>
    <row r="1279" ht="15.75" customHeight="1">
      <c r="E1279" s="331"/>
      <c r="F1279" s="332"/>
      <c r="G1279" s="332"/>
      <c r="J1279" s="333"/>
      <c r="L1279" s="334"/>
      <c r="P1279" s="335"/>
    </row>
    <row r="1280" ht="15.75" customHeight="1">
      <c r="E1280" s="331"/>
      <c r="F1280" s="332"/>
      <c r="G1280" s="332"/>
      <c r="J1280" s="333"/>
      <c r="L1280" s="334"/>
      <c r="P1280" s="335"/>
    </row>
    <row r="1281" ht="15.75" customHeight="1">
      <c r="E1281" s="331"/>
      <c r="F1281" s="332"/>
      <c r="G1281" s="332"/>
      <c r="J1281" s="333"/>
      <c r="L1281" s="334"/>
      <c r="P1281" s="335"/>
    </row>
    <row r="1282" ht="15.75" customHeight="1">
      <c r="E1282" s="331"/>
      <c r="F1282" s="332"/>
      <c r="G1282" s="332"/>
      <c r="J1282" s="333"/>
      <c r="L1282" s="334"/>
      <c r="P1282" s="335"/>
    </row>
    <row r="1283" ht="15.75" customHeight="1">
      <c r="E1283" s="331"/>
      <c r="F1283" s="332"/>
      <c r="G1283" s="332"/>
      <c r="J1283" s="333"/>
      <c r="L1283" s="334"/>
      <c r="P1283" s="335"/>
    </row>
    <row r="1284" ht="15.75" customHeight="1">
      <c r="E1284" s="331"/>
      <c r="F1284" s="332"/>
      <c r="G1284" s="332"/>
      <c r="J1284" s="333"/>
      <c r="L1284" s="334"/>
      <c r="P1284" s="335"/>
    </row>
    <row r="1285" ht="15.75" customHeight="1">
      <c r="E1285" s="331"/>
      <c r="F1285" s="332"/>
      <c r="G1285" s="332"/>
      <c r="J1285" s="333"/>
      <c r="L1285" s="334"/>
      <c r="P1285" s="335"/>
    </row>
    <row r="1286" ht="15.75" customHeight="1">
      <c r="E1286" s="331"/>
      <c r="F1286" s="332"/>
      <c r="G1286" s="332"/>
      <c r="J1286" s="333"/>
      <c r="L1286" s="334"/>
      <c r="P1286" s="335"/>
    </row>
    <row r="1287" ht="15.75" customHeight="1">
      <c r="E1287" s="331"/>
      <c r="F1287" s="332"/>
      <c r="G1287" s="332"/>
      <c r="J1287" s="333"/>
      <c r="L1287" s="334"/>
      <c r="P1287" s="335"/>
    </row>
    <row r="1288" ht="15.75" customHeight="1">
      <c r="E1288" s="331"/>
      <c r="F1288" s="332"/>
      <c r="G1288" s="332"/>
      <c r="J1288" s="333"/>
      <c r="L1288" s="334"/>
      <c r="P1288" s="335"/>
    </row>
    <row r="1289" ht="15.75" customHeight="1">
      <c r="E1289" s="331"/>
      <c r="F1289" s="332"/>
      <c r="G1289" s="332"/>
      <c r="J1289" s="333"/>
      <c r="L1289" s="334"/>
      <c r="P1289" s="335"/>
    </row>
    <row r="1290" ht="15.75" customHeight="1">
      <c r="E1290" s="331"/>
      <c r="F1290" s="332"/>
      <c r="G1290" s="332"/>
      <c r="J1290" s="333"/>
      <c r="L1290" s="334"/>
      <c r="P1290" s="335"/>
    </row>
    <row r="1291" ht="15.75" customHeight="1">
      <c r="E1291" s="331"/>
      <c r="F1291" s="332"/>
      <c r="G1291" s="332"/>
      <c r="J1291" s="333"/>
      <c r="L1291" s="334"/>
      <c r="P1291" s="335"/>
    </row>
    <row r="1292" ht="15.75" customHeight="1">
      <c r="E1292" s="331"/>
      <c r="F1292" s="332"/>
      <c r="G1292" s="332"/>
      <c r="J1292" s="333"/>
      <c r="L1292" s="334"/>
      <c r="P1292" s="335"/>
    </row>
    <row r="1293" ht="15.75" customHeight="1">
      <c r="E1293" s="331"/>
      <c r="F1293" s="332"/>
      <c r="G1293" s="332"/>
      <c r="J1293" s="333"/>
      <c r="L1293" s="334"/>
      <c r="P1293" s="335"/>
    </row>
    <row r="1294" ht="15.75" customHeight="1">
      <c r="E1294" s="331"/>
      <c r="F1294" s="332"/>
      <c r="G1294" s="332"/>
      <c r="J1294" s="333"/>
      <c r="L1294" s="334"/>
      <c r="P1294" s="335"/>
    </row>
    <row r="1295" ht="15.75" customHeight="1">
      <c r="E1295" s="331"/>
      <c r="F1295" s="332"/>
      <c r="G1295" s="332"/>
      <c r="J1295" s="333"/>
      <c r="L1295" s="334"/>
      <c r="P1295" s="335"/>
    </row>
    <row r="1296" ht="15.75" customHeight="1">
      <c r="E1296" s="331"/>
      <c r="F1296" s="332"/>
      <c r="G1296" s="332"/>
      <c r="J1296" s="333"/>
      <c r="L1296" s="334"/>
      <c r="P1296" s="335"/>
    </row>
    <row r="1297" ht="15.75" customHeight="1">
      <c r="E1297" s="331"/>
      <c r="F1297" s="332"/>
      <c r="G1297" s="332"/>
      <c r="J1297" s="333"/>
      <c r="L1297" s="334"/>
      <c r="P1297" s="335"/>
    </row>
    <row r="1298" ht="15.75" customHeight="1">
      <c r="E1298" s="331"/>
      <c r="F1298" s="332"/>
      <c r="G1298" s="332"/>
      <c r="J1298" s="333"/>
      <c r="L1298" s="334"/>
      <c r="P1298" s="335"/>
    </row>
    <row r="1299" ht="15.75" customHeight="1">
      <c r="E1299" s="331"/>
      <c r="F1299" s="332"/>
      <c r="G1299" s="332"/>
      <c r="J1299" s="333"/>
      <c r="L1299" s="334"/>
      <c r="P1299" s="335"/>
    </row>
    <row r="1300" ht="15.75" customHeight="1">
      <c r="E1300" s="331"/>
      <c r="F1300" s="332"/>
      <c r="G1300" s="332"/>
      <c r="J1300" s="333"/>
      <c r="L1300" s="334"/>
      <c r="P1300" s="335"/>
    </row>
    <row r="1301" ht="15.75" customHeight="1">
      <c r="E1301" s="331"/>
      <c r="F1301" s="332"/>
      <c r="G1301" s="332"/>
      <c r="J1301" s="333"/>
      <c r="L1301" s="334"/>
      <c r="P1301" s="335"/>
    </row>
    <row r="1302" ht="15.75" customHeight="1">
      <c r="E1302" s="331"/>
      <c r="F1302" s="332"/>
      <c r="G1302" s="332"/>
      <c r="J1302" s="333"/>
      <c r="L1302" s="334"/>
      <c r="P1302" s="335"/>
    </row>
    <row r="1303" ht="15.75" customHeight="1">
      <c r="E1303" s="331"/>
      <c r="F1303" s="332"/>
      <c r="G1303" s="332"/>
      <c r="J1303" s="333"/>
      <c r="L1303" s="334"/>
      <c r="P1303" s="335"/>
    </row>
    <row r="1304" ht="15.75" customHeight="1">
      <c r="E1304" s="331"/>
      <c r="F1304" s="332"/>
      <c r="G1304" s="332"/>
      <c r="J1304" s="333"/>
      <c r="L1304" s="334"/>
      <c r="P1304" s="335"/>
    </row>
    <row r="1305" ht="15.75" customHeight="1">
      <c r="E1305" s="331"/>
      <c r="F1305" s="332"/>
      <c r="G1305" s="332"/>
      <c r="J1305" s="333"/>
      <c r="L1305" s="334"/>
      <c r="P1305" s="335"/>
    </row>
    <row r="1306" ht="15.75" customHeight="1">
      <c r="E1306" s="331"/>
      <c r="F1306" s="332"/>
      <c r="G1306" s="332"/>
      <c r="J1306" s="333"/>
      <c r="L1306" s="334"/>
      <c r="P1306" s="335"/>
    </row>
    <row r="1307" ht="15.75" customHeight="1">
      <c r="E1307" s="331"/>
      <c r="F1307" s="332"/>
      <c r="G1307" s="332"/>
      <c r="J1307" s="333"/>
      <c r="L1307" s="334"/>
      <c r="P1307" s="335"/>
    </row>
    <row r="1308" ht="15.75" customHeight="1">
      <c r="E1308" s="331"/>
      <c r="F1308" s="332"/>
      <c r="G1308" s="332"/>
      <c r="J1308" s="333"/>
      <c r="L1308" s="334"/>
      <c r="P1308" s="335"/>
    </row>
    <row r="1309" ht="15.75" customHeight="1">
      <c r="E1309" s="331"/>
      <c r="F1309" s="332"/>
      <c r="G1309" s="332"/>
      <c r="J1309" s="333"/>
      <c r="L1309" s="334"/>
      <c r="P1309" s="335"/>
    </row>
    <row r="1310" ht="15.75" customHeight="1">
      <c r="E1310" s="331"/>
      <c r="F1310" s="332"/>
      <c r="G1310" s="332"/>
      <c r="J1310" s="333"/>
      <c r="L1310" s="334"/>
      <c r="P1310" s="335"/>
    </row>
    <row r="1311" ht="15.75" customHeight="1">
      <c r="E1311" s="331"/>
      <c r="F1311" s="332"/>
      <c r="G1311" s="332"/>
      <c r="J1311" s="333"/>
      <c r="L1311" s="334"/>
      <c r="P1311" s="335"/>
    </row>
    <row r="1312" ht="15.75" customHeight="1">
      <c r="E1312" s="331"/>
      <c r="F1312" s="332"/>
      <c r="G1312" s="332"/>
      <c r="J1312" s="333"/>
      <c r="L1312" s="334"/>
      <c r="P1312" s="335"/>
    </row>
    <row r="1313" ht="15.75" customHeight="1">
      <c r="E1313" s="331"/>
      <c r="F1313" s="332"/>
      <c r="G1313" s="332"/>
      <c r="J1313" s="333"/>
      <c r="L1313" s="334"/>
      <c r="P1313" s="335"/>
    </row>
    <row r="1314" ht="15.75" customHeight="1">
      <c r="E1314" s="331"/>
      <c r="F1314" s="332"/>
      <c r="G1314" s="332"/>
      <c r="J1314" s="333"/>
      <c r="L1314" s="334"/>
      <c r="P1314" s="335"/>
    </row>
    <row r="1315" ht="15.75" customHeight="1">
      <c r="E1315" s="331"/>
      <c r="F1315" s="332"/>
      <c r="G1315" s="332"/>
      <c r="J1315" s="333"/>
      <c r="L1315" s="334"/>
      <c r="P1315" s="335"/>
    </row>
    <row r="1316" ht="15.75" customHeight="1">
      <c r="E1316" s="331"/>
      <c r="F1316" s="332"/>
      <c r="G1316" s="332"/>
      <c r="J1316" s="333"/>
      <c r="L1316" s="334"/>
      <c r="P1316" s="335"/>
    </row>
    <row r="1317" ht="15.75" customHeight="1">
      <c r="E1317" s="331"/>
      <c r="F1317" s="332"/>
      <c r="G1317" s="332"/>
      <c r="J1317" s="333"/>
      <c r="L1317" s="334"/>
      <c r="P1317" s="335"/>
    </row>
    <row r="1318" ht="15.75" customHeight="1">
      <c r="E1318" s="331"/>
      <c r="F1318" s="332"/>
      <c r="G1318" s="332"/>
      <c r="J1318" s="333"/>
      <c r="L1318" s="334"/>
      <c r="P1318" s="335"/>
    </row>
    <row r="1319" ht="15.75" customHeight="1">
      <c r="E1319" s="331"/>
      <c r="F1319" s="332"/>
      <c r="G1319" s="332"/>
      <c r="J1319" s="333"/>
      <c r="L1319" s="334"/>
      <c r="P1319" s="335"/>
    </row>
    <row r="1320" ht="15.75" customHeight="1">
      <c r="E1320" s="331"/>
      <c r="F1320" s="332"/>
      <c r="G1320" s="332"/>
      <c r="J1320" s="333"/>
      <c r="L1320" s="334"/>
      <c r="P1320" s="335"/>
    </row>
    <row r="1321" ht="15.75" customHeight="1">
      <c r="E1321" s="331"/>
      <c r="F1321" s="332"/>
      <c r="G1321" s="332"/>
      <c r="J1321" s="333"/>
      <c r="L1321" s="334"/>
      <c r="P1321" s="335"/>
    </row>
    <row r="1322" ht="15.75" customHeight="1">
      <c r="E1322" s="331"/>
      <c r="F1322" s="332"/>
      <c r="G1322" s="332"/>
      <c r="J1322" s="333"/>
      <c r="L1322" s="334"/>
      <c r="P1322" s="335"/>
    </row>
    <row r="1323" ht="15.75" customHeight="1">
      <c r="E1323" s="331"/>
      <c r="F1323" s="332"/>
      <c r="G1323" s="332"/>
      <c r="J1323" s="333"/>
      <c r="L1323" s="334"/>
      <c r="P1323" s="335"/>
    </row>
    <row r="1324" ht="15.75" customHeight="1">
      <c r="E1324" s="331"/>
      <c r="F1324" s="332"/>
      <c r="G1324" s="332"/>
      <c r="J1324" s="333"/>
      <c r="L1324" s="334"/>
      <c r="P1324" s="335"/>
    </row>
    <row r="1325" ht="15.75" customHeight="1">
      <c r="E1325" s="331"/>
      <c r="F1325" s="332"/>
      <c r="G1325" s="332"/>
      <c r="J1325" s="333"/>
      <c r="L1325" s="334"/>
      <c r="P1325" s="335"/>
    </row>
    <row r="1326" ht="15.75" customHeight="1">
      <c r="E1326" s="331"/>
      <c r="F1326" s="332"/>
      <c r="G1326" s="332"/>
      <c r="J1326" s="333"/>
      <c r="L1326" s="334"/>
      <c r="P1326" s="335"/>
    </row>
    <row r="1327" ht="15.75" customHeight="1">
      <c r="E1327" s="331"/>
      <c r="F1327" s="332"/>
      <c r="G1327" s="332"/>
      <c r="J1327" s="333"/>
      <c r="L1327" s="334"/>
      <c r="P1327" s="335"/>
    </row>
    <row r="1328" ht="15.75" customHeight="1">
      <c r="E1328" s="331"/>
      <c r="F1328" s="332"/>
      <c r="G1328" s="332"/>
      <c r="J1328" s="333"/>
      <c r="L1328" s="334"/>
      <c r="P1328" s="335"/>
    </row>
    <row r="1329" ht="15.75" customHeight="1">
      <c r="E1329" s="331"/>
      <c r="F1329" s="332"/>
      <c r="G1329" s="332"/>
      <c r="J1329" s="333"/>
      <c r="L1329" s="334"/>
      <c r="P1329" s="335"/>
    </row>
    <row r="1330" ht="15.75" customHeight="1">
      <c r="E1330" s="331"/>
      <c r="F1330" s="332"/>
      <c r="G1330" s="332"/>
      <c r="J1330" s="333"/>
      <c r="L1330" s="334"/>
      <c r="P1330" s="335"/>
    </row>
    <row r="1331" ht="15.75" customHeight="1">
      <c r="E1331" s="331"/>
      <c r="F1331" s="332"/>
      <c r="G1331" s="332"/>
      <c r="J1331" s="333"/>
      <c r="L1331" s="334"/>
      <c r="P1331" s="335"/>
    </row>
    <row r="1332" ht="15.75" customHeight="1">
      <c r="E1332" s="331"/>
      <c r="F1332" s="332"/>
      <c r="G1332" s="332"/>
      <c r="J1332" s="333"/>
      <c r="L1332" s="334"/>
      <c r="P1332" s="335"/>
    </row>
  </sheetData>
  <autoFilter ref="$A$3:$AG$817">
    <filterColumn colId="17">
      <filters>
        <filter val="5,929,000"/>
        <filter val="262,009,698"/>
        <filter val="2,000,000"/>
        <filter val="7,330,400"/>
        <filter val="6,036,300"/>
        <filter val="42,279,005"/>
        <filter val="258,000"/>
        <filter val="10,946,213"/>
        <filter val="5,870,790"/>
        <filter val="1,623,242"/>
        <filter val="9,037,853"/>
        <filter val="84,232,145"/>
        <filter val="3,000,000"/>
        <filter val="346,241,843"/>
        <filter val="728,805"/>
        <filter val="138,750"/>
      </filters>
    </filterColumn>
  </autoFilter>
  <mergeCells count="2">
    <mergeCell ref="B1:I1"/>
    <mergeCell ref="M2:Q2"/>
  </mergeCells>
  <hyperlinks>
    <hyperlink r:id="rId1" ref="U4"/>
    <hyperlink r:id="rId2" ref="U5"/>
    <hyperlink r:id="rId3" ref="E6"/>
    <hyperlink r:id="rId4" ref="U6"/>
    <hyperlink r:id="rId5" ref="E7"/>
    <hyperlink r:id="rId6" ref="F7"/>
    <hyperlink r:id="rId7" ref="U7"/>
    <hyperlink r:id="rId8" ref="U8"/>
    <hyperlink r:id="rId9" ref="U9"/>
    <hyperlink r:id="rId10" ref="E12"/>
    <hyperlink r:id="rId11" ref="E13"/>
    <hyperlink r:id="rId12" ref="E14"/>
    <hyperlink r:id="rId13" ref="F14"/>
    <hyperlink r:id="rId14" ref="E15"/>
    <hyperlink r:id="rId15" ref="F15"/>
    <hyperlink r:id="rId16" ref="E16"/>
    <hyperlink r:id="rId17" ref="F16"/>
    <hyperlink r:id="rId18" ref="E18"/>
    <hyperlink r:id="rId19" ref="F19"/>
    <hyperlink r:id="rId20" ref="E20"/>
    <hyperlink r:id="rId21" ref="U20"/>
    <hyperlink r:id="rId22" ref="E21"/>
    <hyperlink r:id="rId23" ref="U21"/>
    <hyperlink r:id="rId24" ref="E23"/>
    <hyperlink r:id="rId25" ref="F23"/>
    <hyperlink r:id="rId26" ref="U23"/>
    <hyperlink r:id="rId27" ref="E24"/>
    <hyperlink r:id="rId28" ref="F24"/>
    <hyperlink r:id="rId29" ref="U24"/>
    <hyperlink r:id="rId30" ref="D25"/>
    <hyperlink r:id="rId31" ref="E25"/>
    <hyperlink r:id="rId32" ref="F25"/>
    <hyperlink r:id="rId33" ref="F26"/>
    <hyperlink r:id="rId34" ref="E29"/>
    <hyperlink r:id="rId35" ref="F29"/>
    <hyperlink r:id="rId36" ref="E31"/>
    <hyperlink r:id="rId37" ref="E32"/>
    <hyperlink r:id="rId38" ref="E33"/>
    <hyperlink r:id="rId39" ref="E34"/>
    <hyperlink r:id="rId40" ref="E35"/>
    <hyperlink r:id="rId41" ref="E36"/>
    <hyperlink r:id="rId42" ref="E37"/>
    <hyperlink r:id="rId43" ref="E38"/>
    <hyperlink r:id="rId44" ref="E39"/>
    <hyperlink r:id="rId45" ref="E40"/>
    <hyperlink r:id="rId46" ref="E41"/>
    <hyperlink r:id="rId47" ref="E42"/>
    <hyperlink r:id="rId48" ref="F42"/>
    <hyperlink r:id="rId49" ref="E43"/>
    <hyperlink r:id="rId50" ref="F43"/>
    <hyperlink r:id="rId51" ref="E44"/>
    <hyperlink r:id="rId52" ref="E45"/>
    <hyperlink r:id="rId53" ref="E46"/>
    <hyperlink r:id="rId54" ref="E47"/>
    <hyperlink r:id="rId55" ref="E48"/>
    <hyperlink r:id="rId56" ref="E49"/>
    <hyperlink r:id="rId57" ref="E50"/>
    <hyperlink r:id="rId58" ref="E51"/>
    <hyperlink r:id="rId59" ref="E52"/>
    <hyperlink r:id="rId60" ref="E55"/>
    <hyperlink r:id="rId61" ref="F55"/>
    <hyperlink r:id="rId62" ref="E56"/>
    <hyperlink r:id="rId63" ref="E57"/>
    <hyperlink r:id="rId64" ref="E58"/>
    <hyperlink r:id="rId65" ref="E60"/>
    <hyperlink r:id="rId66" ref="E61"/>
    <hyperlink r:id="rId67" ref="E62"/>
    <hyperlink r:id="rId68" ref="E63"/>
    <hyperlink r:id="rId69" ref="F63"/>
    <hyperlink r:id="rId70" ref="E64"/>
    <hyperlink r:id="rId71" ref="F64"/>
    <hyperlink r:id="rId72" ref="E65"/>
    <hyperlink r:id="rId73" ref="E66"/>
    <hyperlink r:id="rId74" ref="E67"/>
    <hyperlink r:id="rId75" ref="E69"/>
    <hyperlink r:id="rId76" ref="E70"/>
    <hyperlink r:id="rId77" ref="F70"/>
    <hyperlink r:id="rId78" ref="E71"/>
    <hyperlink r:id="rId79" ref="E72"/>
    <hyperlink r:id="rId80" ref="F72"/>
    <hyperlink r:id="rId81" ref="E73"/>
    <hyperlink r:id="rId82" ref="E74"/>
    <hyperlink r:id="rId83" ref="F74"/>
    <hyperlink r:id="rId84" ref="E75"/>
    <hyperlink r:id="rId85" ref="E76"/>
    <hyperlink r:id="rId86" ref="F76"/>
    <hyperlink r:id="rId87" ref="E77"/>
    <hyperlink r:id="rId88" ref="F77"/>
    <hyperlink r:id="rId89" ref="E78"/>
    <hyperlink r:id="rId90" ref="F78"/>
    <hyperlink r:id="rId91" ref="E79"/>
    <hyperlink r:id="rId92" ref="F79"/>
    <hyperlink r:id="rId93" ref="E80"/>
    <hyperlink r:id="rId94" ref="F80"/>
    <hyperlink r:id="rId95" ref="E81"/>
    <hyperlink r:id="rId96" ref="E82"/>
    <hyperlink r:id="rId97" ref="E83"/>
    <hyperlink r:id="rId98" ref="E84"/>
    <hyperlink r:id="rId99" ref="E85"/>
    <hyperlink r:id="rId100" ref="E86"/>
    <hyperlink r:id="rId101" ref="F86"/>
    <hyperlink r:id="rId102" ref="E88"/>
    <hyperlink r:id="rId103" ref="F88"/>
    <hyperlink r:id="rId104" ref="E91"/>
    <hyperlink r:id="rId105" ref="F91"/>
    <hyperlink r:id="rId106" ref="E95"/>
    <hyperlink r:id="rId107" ref="F95"/>
    <hyperlink r:id="rId108" ref="E96"/>
    <hyperlink r:id="rId109" ref="F96"/>
    <hyperlink r:id="rId110" ref="E99"/>
    <hyperlink r:id="rId111" ref="E100"/>
    <hyperlink r:id="rId112" ref="E102"/>
    <hyperlink r:id="rId113" ref="E103"/>
    <hyperlink r:id="rId114" ref="F103"/>
    <hyperlink r:id="rId115" ref="E104"/>
    <hyperlink r:id="rId116" ref="F104"/>
    <hyperlink r:id="rId117" ref="E105"/>
    <hyperlink r:id="rId118" ref="F105"/>
    <hyperlink r:id="rId119" ref="E109"/>
    <hyperlink r:id="rId120" ref="E110"/>
    <hyperlink r:id="rId121" ref="F110"/>
    <hyperlink r:id="rId122" ref="E111"/>
    <hyperlink r:id="rId123" ref="F111"/>
    <hyperlink r:id="rId124" ref="E119"/>
    <hyperlink r:id="rId125" ref="E120"/>
    <hyperlink r:id="rId126" ref="E121"/>
    <hyperlink r:id="rId127" ref="E122"/>
    <hyperlink r:id="rId128" ref="E123"/>
    <hyperlink r:id="rId129" ref="E124"/>
    <hyperlink r:id="rId130" ref="E125"/>
    <hyperlink r:id="rId131" ref="E126"/>
    <hyperlink r:id="rId132" ref="E127"/>
    <hyperlink r:id="rId133" ref="F127"/>
    <hyperlink r:id="rId134" ref="E128"/>
    <hyperlink r:id="rId135" ref="F128"/>
    <hyperlink r:id="rId136" ref="E132"/>
    <hyperlink r:id="rId137" ref="F132"/>
    <hyperlink r:id="rId138" ref="E133"/>
    <hyperlink r:id="rId139" ref="F133"/>
    <hyperlink r:id="rId140" ref="E134"/>
    <hyperlink r:id="rId141" ref="F134"/>
    <hyperlink r:id="rId142" ref="E135"/>
    <hyperlink r:id="rId143" ref="F135"/>
    <hyperlink r:id="rId144" ref="E136"/>
    <hyperlink r:id="rId145" ref="E137"/>
    <hyperlink r:id="rId146" ref="F137"/>
    <hyperlink r:id="rId147" ref="E138"/>
    <hyperlink r:id="rId148" ref="F138"/>
    <hyperlink r:id="rId149" ref="E139"/>
    <hyperlink r:id="rId150" ref="F139"/>
    <hyperlink r:id="rId151" ref="E140"/>
    <hyperlink r:id="rId152" ref="E141"/>
    <hyperlink r:id="rId153" ref="E142"/>
    <hyperlink r:id="rId154" ref="E143"/>
    <hyperlink r:id="rId155" ref="E144"/>
    <hyperlink r:id="rId156" ref="E145"/>
    <hyperlink r:id="rId157" ref="E146"/>
    <hyperlink r:id="rId158" ref="E147"/>
    <hyperlink r:id="rId159" ref="E148"/>
    <hyperlink r:id="rId160" ref="E149"/>
    <hyperlink r:id="rId161" ref="E150"/>
    <hyperlink r:id="rId162" ref="E154"/>
    <hyperlink r:id="rId163" ref="E155"/>
    <hyperlink r:id="rId164" ref="E156"/>
    <hyperlink r:id="rId165" ref="E157"/>
    <hyperlink r:id="rId166" ref="E158"/>
    <hyperlink r:id="rId167" ref="E163"/>
    <hyperlink r:id="rId168" ref="F163"/>
    <hyperlink r:id="rId169" ref="E164"/>
    <hyperlink r:id="rId170" ref="F164"/>
    <hyperlink r:id="rId171" ref="E168"/>
    <hyperlink r:id="rId172" ref="E169"/>
    <hyperlink r:id="rId173" ref="E170"/>
    <hyperlink r:id="rId174" ref="E171"/>
    <hyperlink r:id="rId175" ref="E172"/>
    <hyperlink r:id="rId176" ref="E173"/>
    <hyperlink r:id="rId177" ref="E174"/>
    <hyperlink r:id="rId178" ref="E175"/>
    <hyperlink r:id="rId179" ref="E176"/>
    <hyperlink r:id="rId180" ref="F176"/>
    <hyperlink r:id="rId181" ref="E177"/>
    <hyperlink r:id="rId182" ref="F177"/>
    <hyperlink r:id="rId183" ref="E178"/>
    <hyperlink r:id="rId184" ref="F178"/>
    <hyperlink r:id="rId185" ref="E179"/>
    <hyperlink r:id="rId186" ref="F179"/>
    <hyperlink r:id="rId187" ref="E180"/>
    <hyperlink r:id="rId188" ref="E181"/>
    <hyperlink r:id="rId189" ref="E182"/>
    <hyperlink r:id="rId190" ref="E183"/>
    <hyperlink r:id="rId191" ref="E187"/>
    <hyperlink r:id="rId192" ref="E190"/>
    <hyperlink r:id="rId193" ref="F190"/>
    <hyperlink r:id="rId194" ref="E191"/>
    <hyperlink r:id="rId195" ref="F191"/>
    <hyperlink r:id="rId196" ref="E192"/>
    <hyperlink r:id="rId197" ref="F192"/>
    <hyperlink r:id="rId198" ref="E193"/>
    <hyperlink r:id="rId199" ref="F193"/>
    <hyperlink r:id="rId200" ref="E194"/>
    <hyperlink r:id="rId201" ref="F194"/>
    <hyperlink r:id="rId202" ref="E195"/>
    <hyperlink r:id="rId203" ref="F195"/>
    <hyperlink r:id="rId204" ref="E196"/>
    <hyperlink r:id="rId205" ref="F196"/>
    <hyperlink r:id="rId206" ref="E197"/>
    <hyperlink r:id="rId207" ref="F197"/>
    <hyperlink r:id="rId208" ref="E198"/>
    <hyperlink r:id="rId209" ref="E199"/>
    <hyperlink r:id="rId210" ref="E200"/>
    <hyperlink r:id="rId211" ref="E201"/>
    <hyperlink r:id="rId212" ref="E202"/>
    <hyperlink r:id="rId213" ref="F202"/>
    <hyperlink r:id="rId214" ref="E203"/>
    <hyperlink r:id="rId215" ref="F203"/>
    <hyperlink r:id="rId216" ref="E204"/>
    <hyperlink r:id="rId217" ref="E205"/>
    <hyperlink r:id="rId218" ref="E206"/>
    <hyperlink r:id="rId219" ref="E207"/>
    <hyperlink r:id="rId220" ref="E208"/>
    <hyperlink r:id="rId221" ref="E210"/>
    <hyperlink r:id="rId222" ref="F210"/>
    <hyperlink r:id="rId223" ref="E211"/>
    <hyperlink r:id="rId224" ref="F211"/>
    <hyperlink r:id="rId225" ref="E212"/>
    <hyperlink r:id="rId226" ref="E213"/>
    <hyperlink r:id="rId227" ref="F213"/>
    <hyperlink r:id="rId228" ref="E214"/>
    <hyperlink r:id="rId229" ref="E215"/>
    <hyperlink r:id="rId230" ref="E216"/>
    <hyperlink r:id="rId231" ref="E217"/>
    <hyperlink r:id="rId232" ref="E219"/>
    <hyperlink r:id="rId233" ref="F219"/>
    <hyperlink r:id="rId234" ref="E220"/>
    <hyperlink r:id="rId235" ref="F220"/>
    <hyperlink r:id="rId236" ref="E221"/>
    <hyperlink r:id="rId237" ref="F221"/>
    <hyperlink r:id="rId238" ref="E222"/>
    <hyperlink r:id="rId239" ref="E223"/>
    <hyperlink r:id="rId240" ref="E225"/>
    <hyperlink r:id="rId241" ref="E226"/>
    <hyperlink r:id="rId242" ref="E228"/>
    <hyperlink r:id="rId243" ref="E229"/>
    <hyperlink r:id="rId244" ref="E231"/>
    <hyperlink r:id="rId245" ref="F231"/>
    <hyperlink r:id="rId246" ref="E232"/>
    <hyperlink r:id="rId247" ref="F232"/>
    <hyperlink r:id="rId248" ref="E233"/>
    <hyperlink r:id="rId249" ref="E234"/>
    <hyperlink r:id="rId250" ref="F234"/>
    <hyperlink r:id="rId251" ref="E237"/>
    <hyperlink r:id="rId252" ref="E238"/>
    <hyperlink r:id="rId253" ref="E239"/>
    <hyperlink r:id="rId254" ref="E241"/>
    <hyperlink r:id="rId255" ref="F241"/>
    <hyperlink r:id="rId256" ref="E243"/>
    <hyperlink r:id="rId257" ref="E244"/>
    <hyperlink r:id="rId258" ref="E245"/>
    <hyperlink r:id="rId259" ref="E246"/>
    <hyperlink r:id="rId260" ref="E247"/>
    <hyperlink r:id="rId261" ref="E254"/>
    <hyperlink r:id="rId262" ref="E255"/>
    <hyperlink r:id="rId263" ref="F255"/>
    <hyperlink r:id="rId264" ref="E256"/>
    <hyperlink r:id="rId265" ref="F256"/>
    <hyperlink r:id="rId266" ref="E257"/>
    <hyperlink r:id="rId267" ref="F257"/>
    <hyperlink r:id="rId268" ref="E261"/>
    <hyperlink r:id="rId269" ref="E262"/>
    <hyperlink r:id="rId270" ref="E263"/>
    <hyperlink r:id="rId271" ref="E265"/>
    <hyperlink r:id="rId272" ref="F265"/>
    <hyperlink r:id="rId273" ref="E266"/>
    <hyperlink r:id="rId274" ref="F266"/>
    <hyperlink r:id="rId275" ref="E267"/>
    <hyperlink r:id="rId276" ref="E268"/>
    <hyperlink r:id="rId277" ref="E269"/>
    <hyperlink r:id="rId278" ref="E270"/>
    <hyperlink r:id="rId279" ref="E271"/>
    <hyperlink r:id="rId280" ref="E272"/>
    <hyperlink r:id="rId281" ref="F272"/>
    <hyperlink r:id="rId282" ref="E276"/>
    <hyperlink r:id="rId283" ref="F276"/>
    <hyperlink r:id="rId284" ref="E277"/>
    <hyperlink r:id="rId285" ref="F277"/>
    <hyperlink r:id="rId286" ref="E278"/>
    <hyperlink r:id="rId287" ref="F278"/>
    <hyperlink r:id="rId288" ref="E279"/>
    <hyperlink r:id="rId289" ref="F279"/>
    <hyperlink r:id="rId290" ref="E280"/>
    <hyperlink r:id="rId291" ref="E281"/>
    <hyperlink r:id="rId292" ref="F281"/>
    <hyperlink r:id="rId293" ref="E285"/>
    <hyperlink r:id="rId294" ref="F285"/>
    <hyperlink r:id="rId295" ref="E287"/>
    <hyperlink r:id="rId296" ref="E288"/>
    <hyperlink r:id="rId297" ref="E295"/>
    <hyperlink r:id="rId298" ref="F295"/>
    <hyperlink r:id="rId299" ref="E296"/>
    <hyperlink r:id="rId300" ref="F296"/>
    <hyperlink r:id="rId301" ref="E297"/>
    <hyperlink r:id="rId302" ref="E298"/>
    <hyperlink r:id="rId303" ref="E299"/>
    <hyperlink r:id="rId304" ref="F299"/>
    <hyperlink r:id="rId305" ref="E300"/>
    <hyperlink r:id="rId306" ref="F300"/>
    <hyperlink r:id="rId307" ref="E305"/>
    <hyperlink r:id="rId308" ref="F305"/>
    <hyperlink r:id="rId309" ref="E306"/>
    <hyperlink r:id="rId310" ref="F306"/>
    <hyperlink r:id="rId311" ref="E307"/>
    <hyperlink r:id="rId312" ref="F307"/>
    <hyperlink r:id="rId313" ref="E315"/>
    <hyperlink r:id="rId314" ref="F315"/>
    <hyperlink r:id="rId315" ref="E316"/>
    <hyperlink r:id="rId316" ref="F316"/>
    <hyperlink r:id="rId317" ref="E319"/>
    <hyperlink r:id="rId318" ref="F319"/>
    <hyperlink r:id="rId319" ref="E320"/>
    <hyperlink r:id="rId320" ref="F321"/>
    <hyperlink r:id="rId321" ref="E326"/>
    <hyperlink r:id="rId322" ref="F326"/>
    <hyperlink r:id="rId323" ref="E328"/>
    <hyperlink r:id="rId324" ref="F328"/>
    <hyperlink r:id="rId325" ref="E339"/>
    <hyperlink r:id="rId326" ref="F339"/>
    <hyperlink r:id="rId327" ref="E340"/>
    <hyperlink r:id="rId328" ref="F340"/>
    <hyperlink r:id="rId329" ref="E341"/>
    <hyperlink r:id="rId330" ref="E342"/>
    <hyperlink r:id="rId331" ref="F342"/>
    <hyperlink r:id="rId332" ref="E351"/>
    <hyperlink r:id="rId333" ref="F351"/>
    <hyperlink r:id="rId334" ref="F389"/>
  </hyperlinks>
  <drawing r:id="rId33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E1" s="333"/>
    </row>
    <row r="2">
      <c r="E2" s="333"/>
    </row>
    <row r="3">
      <c r="E3" s="333"/>
    </row>
    <row r="4">
      <c r="E4" s="333"/>
    </row>
    <row r="5">
      <c r="E5" s="333"/>
    </row>
    <row r="6">
      <c r="E6" s="333"/>
      <c r="G6" s="10" t="s">
        <v>1192</v>
      </c>
      <c r="H6" s="10" t="s">
        <v>1193</v>
      </c>
    </row>
    <row r="7">
      <c r="E7" s="333"/>
    </row>
    <row r="8">
      <c r="E8" s="333"/>
    </row>
    <row r="9">
      <c r="D9" s="10" t="s">
        <v>1194</v>
      </c>
      <c r="E9" s="336">
        <v>1000000.0</v>
      </c>
    </row>
    <row r="10">
      <c r="D10" s="10" t="s">
        <v>1195</v>
      </c>
      <c r="E10" s="336">
        <v>500000.0</v>
      </c>
    </row>
    <row r="11">
      <c r="D11" s="10" t="s">
        <v>1177</v>
      </c>
      <c r="E11" s="333">
        <f>E9+E10</f>
        <v>1500000</v>
      </c>
    </row>
    <row r="12">
      <c r="E12" s="333"/>
    </row>
    <row r="13">
      <c r="D13" s="10" t="s">
        <v>1196</v>
      </c>
      <c r="E13" s="333">
        <f>E11/1.11</f>
        <v>1351351.351</v>
      </c>
      <c r="F13" s="10" t="s">
        <v>1197</v>
      </c>
      <c r="G13" s="337"/>
    </row>
    <row r="14">
      <c r="D14" s="10" t="s">
        <v>276</v>
      </c>
      <c r="E14" s="338">
        <f>E13*11%</f>
        <v>148648.6486</v>
      </c>
      <c r="F14" s="339">
        <v>0.11</v>
      </c>
      <c r="G14" s="337">
        <v>0.12</v>
      </c>
    </row>
    <row r="15">
      <c r="D15" s="10" t="s">
        <v>1198</v>
      </c>
      <c r="E15" s="333">
        <f>E13*1.5%</f>
        <v>20270.27027</v>
      </c>
      <c r="F15" s="339">
        <v>0.015</v>
      </c>
    </row>
    <row r="16">
      <c r="D16" s="10" t="s">
        <v>1199</v>
      </c>
      <c r="E16" s="333">
        <f>E13-E14-E15</f>
        <v>1182432.432</v>
      </c>
    </row>
    <row r="17">
      <c r="E17" s="333"/>
    </row>
    <row r="18">
      <c r="D18" s="10" t="s">
        <v>1200</v>
      </c>
      <c r="E18" s="333">
        <f>E13*11/12</f>
        <v>1238738.739</v>
      </c>
    </row>
    <row r="19">
      <c r="D19" s="10" t="s">
        <v>276</v>
      </c>
      <c r="E19" s="338">
        <f>E18*12%</f>
        <v>148648.6486</v>
      </c>
      <c r="F19" s="333"/>
    </row>
    <row r="20">
      <c r="E20" s="333"/>
    </row>
    <row r="21">
      <c r="E21" s="333"/>
    </row>
    <row r="22">
      <c r="E22" s="333"/>
    </row>
    <row r="23">
      <c r="E23" s="333"/>
    </row>
    <row r="24">
      <c r="E24" s="333"/>
    </row>
    <row r="25">
      <c r="E25" s="333"/>
    </row>
    <row r="26">
      <c r="E26" s="333"/>
    </row>
    <row r="27">
      <c r="E27" s="333"/>
    </row>
    <row r="28">
      <c r="E28" s="333"/>
    </row>
    <row r="29">
      <c r="E29" s="333"/>
    </row>
    <row r="30">
      <c r="E30" s="333"/>
    </row>
    <row r="31">
      <c r="E31" s="333"/>
    </row>
    <row r="32">
      <c r="E32" s="333"/>
    </row>
    <row r="33">
      <c r="E33" s="333"/>
    </row>
    <row r="34">
      <c r="E34" s="333"/>
    </row>
    <row r="35">
      <c r="E35" s="333"/>
    </row>
    <row r="36">
      <c r="E36" s="333"/>
    </row>
    <row r="37">
      <c r="E37" s="333"/>
    </row>
    <row r="38">
      <c r="E38" s="333"/>
    </row>
    <row r="39">
      <c r="E39" s="333"/>
    </row>
    <row r="40">
      <c r="E40" s="333"/>
    </row>
    <row r="41">
      <c r="E41" s="333"/>
    </row>
    <row r="42">
      <c r="E42" s="333"/>
    </row>
    <row r="43">
      <c r="E43" s="333"/>
    </row>
    <row r="44">
      <c r="E44" s="333"/>
    </row>
    <row r="45">
      <c r="E45" s="333"/>
    </row>
    <row r="46">
      <c r="E46" s="333"/>
    </row>
    <row r="47">
      <c r="E47" s="333"/>
    </row>
    <row r="48">
      <c r="E48" s="333"/>
    </row>
    <row r="49">
      <c r="E49" s="333"/>
    </row>
    <row r="50">
      <c r="E50" s="333"/>
    </row>
    <row r="51">
      <c r="E51" s="333"/>
    </row>
    <row r="52">
      <c r="E52" s="333"/>
    </row>
    <row r="53">
      <c r="E53" s="333"/>
    </row>
    <row r="54">
      <c r="E54" s="333"/>
    </row>
    <row r="55">
      <c r="E55" s="333"/>
    </row>
    <row r="56">
      <c r="E56" s="333"/>
    </row>
    <row r="57">
      <c r="E57" s="333"/>
    </row>
    <row r="58">
      <c r="E58" s="333"/>
    </row>
    <row r="59">
      <c r="E59" s="333"/>
    </row>
    <row r="60">
      <c r="E60" s="333"/>
    </row>
    <row r="61">
      <c r="E61" s="333"/>
    </row>
    <row r="62">
      <c r="E62" s="333"/>
    </row>
    <row r="63">
      <c r="E63" s="333"/>
    </row>
    <row r="64">
      <c r="E64" s="333"/>
    </row>
    <row r="65">
      <c r="E65" s="333"/>
    </row>
    <row r="66">
      <c r="E66" s="333"/>
    </row>
    <row r="67">
      <c r="E67" s="333"/>
    </row>
    <row r="68">
      <c r="E68" s="333"/>
    </row>
    <row r="69">
      <c r="E69" s="333"/>
    </row>
    <row r="70">
      <c r="E70" s="333"/>
    </row>
    <row r="71">
      <c r="E71" s="333"/>
    </row>
    <row r="72">
      <c r="E72" s="333"/>
    </row>
    <row r="73">
      <c r="E73" s="333"/>
    </row>
    <row r="74">
      <c r="E74" s="333"/>
    </row>
    <row r="75">
      <c r="E75" s="333"/>
    </row>
    <row r="76">
      <c r="E76" s="333"/>
    </row>
    <row r="77">
      <c r="E77" s="333"/>
    </row>
    <row r="78">
      <c r="E78" s="333"/>
    </row>
    <row r="79">
      <c r="E79" s="333"/>
    </row>
    <row r="80">
      <c r="E80" s="333"/>
    </row>
    <row r="81">
      <c r="E81" s="333"/>
    </row>
    <row r="82">
      <c r="E82" s="333"/>
    </row>
    <row r="83">
      <c r="E83" s="333"/>
    </row>
    <row r="84">
      <c r="E84" s="333"/>
    </row>
    <row r="85">
      <c r="E85" s="333"/>
    </row>
    <row r="86">
      <c r="E86" s="333"/>
    </row>
    <row r="87">
      <c r="E87" s="333"/>
    </row>
    <row r="88">
      <c r="E88" s="333"/>
    </row>
    <row r="89">
      <c r="E89" s="333"/>
    </row>
    <row r="90">
      <c r="E90" s="333"/>
    </row>
    <row r="91">
      <c r="E91" s="333"/>
    </row>
    <row r="92">
      <c r="E92" s="333"/>
    </row>
    <row r="93">
      <c r="E93" s="333"/>
    </row>
    <row r="94">
      <c r="E94" s="333"/>
    </row>
    <row r="95">
      <c r="E95" s="333"/>
    </row>
    <row r="96">
      <c r="E96" s="333"/>
    </row>
    <row r="97">
      <c r="E97" s="333"/>
    </row>
    <row r="98">
      <c r="E98" s="333"/>
    </row>
    <row r="99">
      <c r="E99" s="333"/>
    </row>
    <row r="100">
      <c r="E100" s="333"/>
    </row>
    <row r="101">
      <c r="E101" s="333"/>
    </row>
    <row r="102">
      <c r="E102" s="333"/>
    </row>
    <row r="103">
      <c r="E103" s="333"/>
    </row>
    <row r="104">
      <c r="E104" s="333"/>
    </row>
    <row r="105">
      <c r="E105" s="333"/>
    </row>
    <row r="106">
      <c r="E106" s="333"/>
    </row>
    <row r="107">
      <c r="E107" s="333"/>
    </row>
    <row r="108">
      <c r="E108" s="333"/>
    </row>
    <row r="109">
      <c r="E109" s="333"/>
    </row>
    <row r="110">
      <c r="E110" s="333"/>
    </row>
    <row r="111">
      <c r="E111" s="333"/>
    </row>
    <row r="112">
      <c r="E112" s="333"/>
    </row>
    <row r="113">
      <c r="E113" s="333"/>
    </row>
    <row r="114">
      <c r="E114" s="333"/>
    </row>
    <row r="115">
      <c r="E115" s="333"/>
    </row>
    <row r="116">
      <c r="E116" s="333"/>
    </row>
    <row r="117">
      <c r="E117" s="333"/>
    </row>
    <row r="118">
      <c r="E118" s="333"/>
    </row>
    <row r="119">
      <c r="E119" s="333"/>
    </row>
    <row r="120">
      <c r="E120" s="333"/>
    </row>
    <row r="121">
      <c r="E121" s="333"/>
    </row>
    <row r="122">
      <c r="E122" s="333"/>
    </row>
    <row r="123">
      <c r="E123" s="333"/>
    </row>
    <row r="124">
      <c r="E124" s="333"/>
    </row>
    <row r="125">
      <c r="E125" s="333"/>
    </row>
    <row r="126">
      <c r="E126" s="333"/>
    </row>
    <row r="127">
      <c r="E127" s="333"/>
    </row>
    <row r="128">
      <c r="E128" s="333"/>
    </row>
    <row r="129">
      <c r="E129" s="333"/>
    </row>
    <row r="130">
      <c r="E130" s="333"/>
    </row>
    <row r="131">
      <c r="E131" s="333"/>
    </row>
    <row r="132">
      <c r="E132" s="333"/>
    </row>
    <row r="133">
      <c r="E133" s="333"/>
    </row>
    <row r="134">
      <c r="E134" s="333"/>
    </row>
    <row r="135">
      <c r="E135" s="333"/>
    </row>
    <row r="136">
      <c r="E136" s="333"/>
    </row>
    <row r="137">
      <c r="E137" s="333"/>
    </row>
    <row r="138">
      <c r="E138" s="333"/>
    </row>
    <row r="139">
      <c r="E139" s="333"/>
    </row>
    <row r="140">
      <c r="E140" s="333"/>
    </row>
    <row r="141">
      <c r="E141" s="333"/>
    </row>
    <row r="142">
      <c r="E142" s="333"/>
    </row>
    <row r="143">
      <c r="E143" s="333"/>
    </row>
    <row r="144">
      <c r="E144" s="333"/>
    </row>
    <row r="145">
      <c r="E145" s="333"/>
    </row>
    <row r="146">
      <c r="E146" s="333"/>
    </row>
    <row r="147">
      <c r="E147" s="333"/>
    </row>
    <row r="148">
      <c r="E148" s="333"/>
    </row>
    <row r="149">
      <c r="E149" s="333"/>
    </row>
    <row r="150">
      <c r="E150" s="333"/>
    </row>
    <row r="151">
      <c r="E151" s="333"/>
    </row>
    <row r="152">
      <c r="E152" s="333"/>
    </row>
    <row r="153">
      <c r="E153" s="333"/>
    </row>
    <row r="154">
      <c r="E154" s="333"/>
    </row>
    <row r="155">
      <c r="E155" s="333"/>
    </row>
    <row r="156">
      <c r="E156" s="333"/>
    </row>
    <row r="157">
      <c r="E157" s="333"/>
    </row>
    <row r="158">
      <c r="E158" s="333"/>
    </row>
    <row r="159">
      <c r="E159" s="333"/>
    </row>
    <row r="160">
      <c r="E160" s="333"/>
    </row>
    <row r="161">
      <c r="E161" s="333"/>
    </row>
    <row r="162">
      <c r="E162" s="333"/>
    </row>
    <row r="163">
      <c r="E163" s="333"/>
    </row>
    <row r="164">
      <c r="E164" s="333"/>
    </row>
    <row r="165">
      <c r="E165" s="333"/>
    </row>
    <row r="166">
      <c r="E166" s="333"/>
    </row>
    <row r="167">
      <c r="E167" s="333"/>
    </row>
    <row r="168">
      <c r="E168" s="333"/>
    </row>
    <row r="169">
      <c r="E169" s="333"/>
    </row>
    <row r="170">
      <c r="E170" s="333"/>
    </row>
    <row r="171">
      <c r="E171" s="333"/>
    </row>
    <row r="172">
      <c r="E172" s="333"/>
    </row>
    <row r="173">
      <c r="E173" s="333"/>
    </row>
    <row r="174">
      <c r="E174" s="333"/>
    </row>
    <row r="175">
      <c r="E175" s="333"/>
    </row>
    <row r="176">
      <c r="E176" s="333"/>
    </row>
    <row r="177">
      <c r="E177" s="333"/>
    </row>
    <row r="178">
      <c r="E178" s="333"/>
    </row>
    <row r="179">
      <c r="E179" s="333"/>
    </row>
    <row r="180">
      <c r="E180" s="333"/>
    </row>
    <row r="181">
      <c r="E181" s="333"/>
    </row>
    <row r="182">
      <c r="E182" s="333"/>
    </row>
    <row r="183">
      <c r="E183" s="333"/>
    </row>
    <row r="184">
      <c r="E184" s="333"/>
    </row>
    <row r="185">
      <c r="E185" s="333"/>
    </row>
    <row r="186">
      <c r="E186" s="333"/>
    </row>
    <row r="187">
      <c r="E187" s="333"/>
    </row>
    <row r="188">
      <c r="E188" s="333"/>
    </row>
    <row r="189">
      <c r="E189" s="333"/>
    </row>
    <row r="190">
      <c r="E190" s="333"/>
    </row>
    <row r="191">
      <c r="E191" s="333"/>
    </row>
    <row r="192">
      <c r="E192" s="333"/>
    </row>
    <row r="193">
      <c r="E193" s="333"/>
    </row>
    <row r="194">
      <c r="E194" s="333"/>
    </row>
    <row r="195">
      <c r="E195" s="333"/>
    </row>
    <row r="196">
      <c r="E196" s="333"/>
    </row>
    <row r="197">
      <c r="E197" s="333"/>
    </row>
    <row r="198">
      <c r="E198" s="333"/>
    </row>
    <row r="199">
      <c r="E199" s="333"/>
    </row>
    <row r="200">
      <c r="E200" s="333"/>
    </row>
    <row r="201">
      <c r="E201" s="333"/>
    </row>
    <row r="202">
      <c r="E202" s="333"/>
    </row>
    <row r="203">
      <c r="E203" s="333"/>
    </row>
    <row r="204">
      <c r="E204" s="333"/>
    </row>
    <row r="205">
      <c r="E205" s="333"/>
    </row>
    <row r="206">
      <c r="E206" s="333"/>
    </row>
    <row r="207">
      <c r="E207" s="333"/>
    </row>
    <row r="208">
      <c r="E208" s="333"/>
    </row>
    <row r="209">
      <c r="E209" s="333"/>
    </row>
    <row r="210">
      <c r="E210" s="333"/>
    </row>
    <row r="211">
      <c r="E211" s="333"/>
    </row>
    <row r="212">
      <c r="E212" s="333"/>
    </row>
    <row r="213">
      <c r="E213" s="333"/>
    </row>
    <row r="214">
      <c r="E214" s="333"/>
    </row>
    <row r="215">
      <c r="E215" s="333"/>
    </row>
    <row r="216">
      <c r="E216" s="333"/>
    </row>
    <row r="217">
      <c r="E217" s="333"/>
    </row>
    <row r="218">
      <c r="E218" s="333"/>
    </row>
    <row r="219">
      <c r="E219" s="333"/>
    </row>
    <row r="220">
      <c r="E220" s="333"/>
    </row>
    <row r="221">
      <c r="E221" s="333"/>
    </row>
    <row r="222">
      <c r="E222" s="333"/>
    </row>
    <row r="223">
      <c r="E223" s="333"/>
    </row>
    <row r="224">
      <c r="E224" s="333"/>
    </row>
    <row r="225">
      <c r="E225" s="333"/>
    </row>
    <row r="226">
      <c r="E226" s="333"/>
    </row>
    <row r="227">
      <c r="E227" s="333"/>
    </row>
    <row r="228">
      <c r="E228" s="333"/>
    </row>
    <row r="229">
      <c r="E229" s="333"/>
    </row>
    <row r="230">
      <c r="E230" s="333"/>
    </row>
    <row r="231">
      <c r="E231" s="333"/>
    </row>
    <row r="232">
      <c r="E232" s="333"/>
    </row>
    <row r="233">
      <c r="E233" s="333"/>
    </row>
    <row r="234">
      <c r="E234" s="333"/>
    </row>
    <row r="235">
      <c r="E235" s="333"/>
    </row>
    <row r="236">
      <c r="E236" s="333"/>
    </row>
    <row r="237">
      <c r="E237" s="333"/>
    </row>
    <row r="238">
      <c r="E238" s="333"/>
    </row>
    <row r="239">
      <c r="E239" s="333"/>
    </row>
    <row r="240">
      <c r="E240" s="333"/>
    </row>
    <row r="241">
      <c r="E241" s="333"/>
    </row>
    <row r="242">
      <c r="E242" s="333"/>
    </row>
    <row r="243">
      <c r="E243" s="333"/>
    </row>
    <row r="244">
      <c r="E244" s="333"/>
    </row>
    <row r="245">
      <c r="E245" s="333"/>
    </row>
    <row r="246">
      <c r="E246" s="333"/>
    </row>
    <row r="247">
      <c r="E247" s="333"/>
    </row>
    <row r="248">
      <c r="E248" s="333"/>
    </row>
    <row r="249">
      <c r="E249" s="333"/>
    </row>
    <row r="250">
      <c r="E250" s="333"/>
    </row>
    <row r="251">
      <c r="E251" s="333"/>
    </row>
    <row r="252">
      <c r="E252" s="333"/>
    </row>
    <row r="253">
      <c r="E253" s="333"/>
    </row>
    <row r="254">
      <c r="E254" s="333"/>
    </row>
    <row r="255">
      <c r="E255" s="333"/>
    </row>
    <row r="256">
      <c r="E256" s="333"/>
    </row>
    <row r="257">
      <c r="E257" s="333"/>
    </row>
    <row r="258">
      <c r="E258" s="333"/>
    </row>
    <row r="259">
      <c r="E259" s="333"/>
    </row>
    <row r="260">
      <c r="E260" s="333"/>
    </row>
    <row r="261">
      <c r="E261" s="333"/>
    </row>
    <row r="262">
      <c r="E262" s="333"/>
    </row>
    <row r="263">
      <c r="E263" s="333"/>
    </row>
    <row r="264">
      <c r="E264" s="333"/>
    </row>
    <row r="265">
      <c r="E265" s="333"/>
    </row>
    <row r="266">
      <c r="E266" s="333"/>
    </row>
    <row r="267">
      <c r="E267" s="333"/>
    </row>
    <row r="268">
      <c r="E268" s="333"/>
    </row>
    <row r="269">
      <c r="E269" s="333"/>
    </row>
    <row r="270">
      <c r="E270" s="333"/>
    </row>
    <row r="271">
      <c r="E271" s="333"/>
    </row>
    <row r="272">
      <c r="E272" s="333"/>
    </row>
    <row r="273">
      <c r="E273" s="333"/>
    </row>
    <row r="274">
      <c r="E274" s="333"/>
    </row>
    <row r="275">
      <c r="E275" s="333"/>
    </row>
    <row r="276">
      <c r="E276" s="333"/>
    </row>
    <row r="277">
      <c r="E277" s="333"/>
    </row>
    <row r="278">
      <c r="E278" s="333"/>
    </row>
    <row r="279">
      <c r="E279" s="333"/>
    </row>
    <row r="280">
      <c r="E280" s="333"/>
    </row>
    <row r="281">
      <c r="E281" s="333"/>
    </row>
    <row r="282">
      <c r="E282" s="333"/>
    </row>
    <row r="283">
      <c r="E283" s="333"/>
    </row>
    <row r="284">
      <c r="E284" s="333"/>
    </row>
    <row r="285">
      <c r="E285" s="333"/>
    </row>
    <row r="286">
      <c r="E286" s="333"/>
    </row>
    <row r="287">
      <c r="E287" s="333"/>
    </row>
    <row r="288">
      <c r="E288" s="333"/>
    </row>
    <row r="289">
      <c r="E289" s="333"/>
    </row>
    <row r="290">
      <c r="E290" s="333"/>
    </row>
    <row r="291">
      <c r="E291" s="333"/>
    </row>
    <row r="292">
      <c r="E292" s="333"/>
    </row>
    <row r="293">
      <c r="E293" s="333"/>
    </row>
    <row r="294">
      <c r="E294" s="333"/>
    </row>
    <row r="295">
      <c r="E295" s="333"/>
    </row>
    <row r="296">
      <c r="E296" s="333"/>
    </row>
    <row r="297">
      <c r="E297" s="333"/>
    </row>
    <row r="298">
      <c r="E298" s="333"/>
    </row>
    <row r="299">
      <c r="E299" s="333"/>
    </row>
    <row r="300">
      <c r="E300" s="333"/>
    </row>
    <row r="301">
      <c r="E301" s="333"/>
    </row>
    <row r="302">
      <c r="E302" s="333"/>
    </row>
    <row r="303">
      <c r="E303" s="333"/>
    </row>
    <row r="304">
      <c r="E304" s="333"/>
    </row>
    <row r="305">
      <c r="E305" s="333"/>
    </row>
    <row r="306">
      <c r="E306" s="333"/>
    </row>
    <row r="307">
      <c r="E307" s="333"/>
    </row>
    <row r="308">
      <c r="E308" s="333"/>
    </row>
    <row r="309">
      <c r="E309" s="333"/>
    </row>
    <row r="310">
      <c r="E310" s="333"/>
    </row>
    <row r="311">
      <c r="E311" s="333"/>
    </row>
    <row r="312">
      <c r="E312" s="333"/>
    </row>
    <row r="313">
      <c r="E313" s="333"/>
    </row>
    <row r="314">
      <c r="E314" s="333"/>
    </row>
    <row r="315">
      <c r="E315" s="333"/>
    </row>
    <row r="316">
      <c r="E316" s="333"/>
    </row>
    <row r="317">
      <c r="E317" s="333"/>
    </row>
    <row r="318">
      <c r="E318" s="333"/>
    </row>
    <row r="319">
      <c r="E319" s="333"/>
    </row>
    <row r="320">
      <c r="E320" s="333"/>
    </row>
    <row r="321">
      <c r="E321" s="333"/>
    </row>
    <row r="322">
      <c r="E322" s="333"/>
    </row>
    <row r="323">
      <c r="E323" s="333"/>
    </row>
    <row r="324">
      <c r="E324" s="333"/>
    </row>
    <row r="325">
      <c r="E325" s="333"/>
    </row>
    <row r="326">
      <c r="E326" s="333"/>
    </row>
    <row r="327">
      <c r="E327" s="333"/>
    </row>
    <row r="328">
      <c r="E328" s="333"/>
    </row>
    <row r="329">
      <c r="E329" s="333"/>
    </row>
    <row r="330">
      <c r="E330" s="333"/>
    </row>
    <row r="331">
      <c r="E331" s="333"/>
    </row>
    <row r="332">
      <c r="E332" s="333"/>
    </row>
    <row r="333">
      <c r="E333" s="333"/>
    </row>
    <row r="334">
      <c r="E334" s="333"/>
    </row>
    <row r="335">
      <c r="E335" s="333"/>
    </row>
    <row r="336">
      <c r="E336" s="333"/>
    </row>
    <row r="337">
      <c r="E337" s="333"/>
    </row>
    <row r="338">
      <c r="E338" s="333"/>
    </row>
    <row r="339">
      <c r="E339" s="333"/>
    </row>
    <row r="340">
      <c r="E340" s="333"/>
    </row>
    <row r="341">
      <c r="E341" s="333"/>
    </row>
    <row r="342">
      <c r="E342" s="333"/>
    </row>
    <row r="343">
      <c r="E343" s="333"/>
    </row>
    <row r="344">
      <c r="E344" s="333"/>
    </row>
    <row r="345">
      <c r="E345" s="333"/>
    </row>
    <row r="346">
      <c r="E346" s="333"/>
    </row>
    <row r="347">
      <c r="E347" s="333"/>
    </row>
    <row r="348">
      <c r="E348" s="333"/>
    </row>
    <row r="349">
      <c r="E349" s="333"/>
    </row>
    <row r="350">
      <c r="E350" s="333"/>
    </row>
    <row r="351">
      <c r="E351" s="333"/>
    </row>
    <row r="352">
      <c r="E352" s="333"/>
    </row>
    <row r="353">
      <c r="E353" s="333"/>
    </row>
    <row r="354">
      <c r="E354" s="333"/>
    </row>
    <row r="355">
      <c r="E355" s="333"/>
    </row>
    <row r="356">
      <c r="E356" s="333"/>
    </row>
    <row r="357">
      <c r="E357" s="333"/>
    </row>
    <row r="358">
      <c r="E358" s="333"/>
    </row>
    <row r="359">
      <c r="E359" s="333"/>
    </row>
    <row r="360">
      <c r="E360" s="333"/>
    </row>
    <row r="361">
      <c r="E361" s="333"/>
    </row>
    <row r="362">
      <c r="E362" s="333"/>
    </row>
    <row r="363">
      <c r="E363" s="333"/>
    </row>
    <row r="364">
      <c r="E364" s="333"/>
    </row>
    <row r="365">
      <c r="E365" s="333"/>
    </row>
    <row r="366">
      <c r="E366" s="333"/>
    </row>
    <row r="367">
      <c r="E367" s="333"/>
    </row>
    <row r="368">
      <c r="E368" s="333"/>
    </row>
    <row r="369">
      <c r="E369" s="333"/>
    </row>
    <row r="370">
      <c r="E370" s="333"/>
    </row>
    <row r="371">
      <c r="E371" s="333"/>
    </row>
    <row r="372">
      <c r="E372" s="333"/>
    </row>
    <row r="373">
      <c r="E373" s="333"/>
    </row>
    <row r="374">
      <c r="E374" s="333"/>
    </row>
    <row r="375">
      <c r="E375" s="333"/>
    </row>
    <row r="376">
      <c r="E376" s="333"/>
    </row>
    <row r="377">
      <c r="E377" s="333"/>
    </row>
    <row r="378">
      <c r="E378" s="333"/>
    </row>
    <row r="379">
      <c r="E379" s="333"/>
    </row>
    <row r="380">
      <c r="E380" s="333"/>
    </row>
    <row r="381">
      <c r="E381" s="333"/>
    </row>
    <row r="382">
      <c r="E382" s="333"/>
    </row>
    <row r="383">
      <c r="E383" s="333"/>
    </row>
    <row r="384">
      <c r="E384" s="333"/>
    </row>
    <row r="385">
      <c r="E385" s="333"/>
    </row>
    <row r="386">
      <c r="E386" s="333"/>
    </row>
    <row r="387">
      <c r="E387" s="333"/>
    </row>
    <row r="388">
      <c r="E388" s="333"/>
    </row>
    <row r="389">
      <c r="E389" s="333"/>
    </row>
    <row r="390">
      <c r="E390" s="333"/>
    </row>
    <row r="391">
      <c r="E391" s="333"/>
    </row>
    <row r="392">
      <c r="E392" s="333"/>
    </row>
    <row r="393">
      <c r="E393" s="333"/>
    </row>
    <row r="394">
      <c r="E394" s="333"/>
    </row>
    <row r="395">
      <c r="E395" s="333"/>
    </row>
    <row r="396">
      <c r="E396" s="333"/>
    </row>
    <row r="397">
      <c r="E397" s="333"/>
    </row>
    <row r="398">
      <c r="E398" s="333"/>
    </row>
    <row r="399">
      <c r="E399" s="333"/>
    </row>
    <row r="400">
      <c r="E400" s="333"/>
    </row>
    <row r="401">
      <c r="E401" s="333"/>
    </row>
    <row r="402">
      <c r="E402" s="333"/>
    </row>
    <row r="403">
      <c r="E403" s="333"/>
    </row>
    <row r="404">
      <c r="E404" s="333"/>
    </row>
    <row r="405">
      <c r="E405" s="333"/>
    </row>
    <row r="406">
      <c r="E406" s="333"/>
    </row>
    <row r="407">
      <c r="E407" s="333"/>
    </row>
    <row r="408">
      <c r="E408" s="333"/>
    </row>
    <row r="409">
      <c r="E409" s="333"/>
    </row>
    <row r="410">
      <c r="E410" s="333"/>
    </row>
    <row r="411">
      <c r="E411" s="333"/>
    </row>
    <row r="412">
      <c r="E412" s="333"/>
    </row>
    <row r="413">
      <c r="E413" s="333"/>
    </row>
    <row r="414">
      <c r="E414" s="333"/>
    </row>
    <row r="415">
      <c r="E415" s="333"/>
    </row>
    <row r="416">
      <c r="E416" s="333"/>
    </row>
    <row r="417">
      <c r="E417" s="333"/>
    </row>
    <row r="418">
      <c r="E418" s="333"/>
    </row>
    <row r="419">
      <c r="E419" s="333"/>
    </row>
    <row r="420">
      <c r="E420" s="333"/>
    </row>
    <row r="421">
      <c r="E421" s="333"/>
    </row>
    <row r="422">
      <c r="E422" s="333"/>
    </row>
    <row r="423">
      <c r="E423" s="333"/>
    </row>
    <row r="424">
      <c r="E424" s="333"/>
    </row>
    <row r="425">
      <c r="E425" s="333"/>
    </row>
    <row r="426">
      <c r="E426" s="333"/>
    </row>
    <row r="427">
      <c r="E427" s="333"/>
    </row>
    <row r="428">
      <c r="E428" s="333"/>
    </row>
    <row r="429">
      <c r="E429" s="333"/>
    </row>
    <row r="430">
      <c r="E430" s="333"/>
    </row>
    <row r="431">
      <c r="E431" s="333"/>
    </row>
    <row r="432">
      <c r="E432" s="333"/>
    </row>
    <row r="433">
      <c r="E433" s="333"/>
    </row>
    <row r="434">
      <c r="E434" s="333"/>
    </row>
    <row r="435">
      <c r="E435" s="333"/>
    </row>
    <row r="436">
      <c r="E436" s="333"/>
    </row>
    <row r="437">
      <c r="E437" s="333"/>
    </row>
    <row r="438">
      <c r="E438" s="333"/>
    </row>
    <row r="439">
      <c r="E439" s="333"/>
    </row>
    <row r="440">
      <c r="E440" s="333"/>
    </row>
    <row r="441">
      <c r="E441" s="333"/>
    </row>
    <row r="442">
      <c r="E442" s="333"/>
    </row>
    <row r="443">
      <c r="E443" s="333"/>
    </row>
    <row r="444">
      <c r="E444" s="333"/>
    </row>
    <row r="445">
      <c r="E445" s="333"/>
    </row>
    <row r="446">
      <c r="E446" s="333"/>
    </row>
    <row r="447">
      <c r="E447" s="333"/>
    </row>
    <row r="448">
      <c r="E448" s="333"/>
    </row>
    <row r="449">
      <c r="E449" s="333"/>
    </row>
    <row r="450">
      <c r="E450" s="333"/>
    </row>
    <row r="451">
      <c r="E451" s="333"/>
    </row>
    <row r="452">
      <c r="E452" s="333"/>
    </row>
    <row r="453">
      <c r="E453" s="333"/>
    </row>
    <row r="454">
      <c r="E454" s="333"/>
    </row>
    <row r="455">
      <c r="E455" s="333"/>
    </row>
    <row r="456">
      <c r="E456" s="333"/>
    </row>
    <row r="457">
      <c r="E457" s="333"/>
    </row>
    <row r="458">
      <c r="E458" s="333"/>
    </row>
    <row r="459">
      <c r="E459" s="333"/>
    </row>
    <row r="460">
      <c r="E460" s="333"/>
    </row>
    <row r="461">
      <c r="E461" s="333"/>
    </row>
    <row r="462">
      <c r="E462" s="333"/>
    </row>
    <row r="463">
      <c r="E463" s="333"/>
    </row>
    <row r="464">
      <c r="E464" s="333"/>
    </row>
    <row r="465">
      <c r="E465" s="333"/>
    </row>
    <row r="466">
      <c r="E466" s="333"/>
    </row>
    <row r="467">
      <c r="E467" s="333"/>
    </row>
    <row r="468">
      <c r="E468" s="333"/>
    </row>
    <row r="469">
      <c r="E469" s="333"/>
    </row>
    <row r="470">
      <c r="E470" s="333"/>
    </row>
    <row r="471">
      <c r="E471" s="333"/>
    </row>
    <row r="472">
      <c r="E472" s="333"/>
    </row>
    <row r="473">
      <c r="E473" s="333"/>
    </row>
    <row r="474">
      <c r="E474" s="333"/>
    </row>
    <row r="475">
      <c r="E475" s="333"/>
    </row>
    <row r="476">
      <c r="E476" s="333"/>
    </row>
    <row r="477">
      <c r="E477" s="333"/>
    </row>
    <row r="478">
      <c r="E478" s="333"/>
    </row>
    <row r="479">
      <c r="E479" s="333"/>
    </row>
    <row r="480">
      <c r="E480" s="333"/>
    </row>
    <row r="481">
      <c r="E481" s="333"/>
    </row>
    <row r="482">
      <c r="E482" s="333"/>
    </row>
    <row r="483">
      <c r="E483" s="333"/>
    </row>
    <row r="484">
      <c r="E484" s="333"/>
    </row>
    <row r="485">
      <c r="E485" s="333"/>
    </row>
    <row r="486">
      <c r="E486" s="333"/>
    </row>
    <row r="487">
      <c r="E487" s="333"/>
    </row>
    <row r="488">
      <c r="E488" s="333"/>
    </row>
    <row r="489">
      <c r="E489" s="333"/>
    </row>
    <row r="490">
      <c r="E490" s="333"/>
    </row>
    <row r="491">
      <c r="E491" s="333"/>
    </row>
    <row r="492">
      <c r="E492" s="333"/>
    </row>
    <row r="493">
      <c r="E493" s="333"/>
    </row>
    <row r="494">
      <c r="E494" s="333"/>
    </row>
    <row r="495">
      <c r="E495" s="333"/>
    </row>
    <row r="496">
      <c r="E496" s="333"/>
    </row>
    <row r="497">
      <c r="E497" s="333"/>
    </row>
    <row r="498">
      <c r="E498" s="333"/>
    </row>
    <row r="499">
      <c r="E499" s="333"/>
    </row>
    <row r="500">
      <c r="E500" s="333"/>
    </row>
    <row r="501">
      <c r="E501" s="333"/>
    </row>
    <row r="502">
      <c r="E502" s="333"/>
    </row>
    <row r="503">
      <c r="E503" s="333"/>
    </row>
    <row r="504">
      <c r="E504" s="333"/>
    </row>
    <row r="505">
      <c r="E505" s="333"/>
    </row>
    <row r="506">
      <c r="E506" s="333"/>
    </row>
    <row r="507">
      <c r="E507" s="333"/>
    </row>
    <row r="508">
      <c r="E508" s="333"/>
    </row>
    <row r="509">
      <c r="E509" s="333"/>
    </row>
    <row r="510">
      <c r="E510" s="333"/>
    </row>
    <row r="511">
      <c r="E511" s="333"/>
    </row>
    <row r="512">
      <c r="E512" s="333"/>
    </row>
    <row r="513">
      <c r="E513" s="333"/>
    </row>
    <row r="514">
      <c r="E514" s="333"/>
    </row>
    <row r="515">
      <c r="E515" s="333"/>
    </row>
    <row r="516">
      <c r="E516" s="333"/>
    </row>
    <row r="517">
      <c r="E517" s="333"/>
    </row>
    <row r="518">
      <c r="E518" s="333"/>
    </row>
    <row r="519">
      <c r="E519" s="333"/>
    </row>
    <row r="520">
      <c r="E520" s="333"/>
    </row>
    <row r="521">
      <c r="E521" s="333"/>
    </row>
    <row r="522">
      <c r="E522" s="333"/>
    </row>
    <row r="523">
      <c r="E523" s="333"/>
    </row>
    <row r="524">
      <c r="E524" s="333"/>
    </row>
    <row r="525">
      <c r="E525" s="333"/>
    </row>
    <row r="526">
      <c r="E526" s="333"/>
    </row>
    <row r="527">
      <c r="E527" s="333"/>
    </row>
    <row r="528">
      <c r="E528" s="333"/>
    </row>
    <row r="529">
      <c r="E529" s="333"/>
    </row>
    <row r="530">
      <c r="E530" s="333"/>
    </row>
    <row r="531">
      <c r="E531" s="333"/>
    </row>
    <row r="532">
      <c r="E532" s="333"/>
    </row>
    <row r="533">
      <c r="E533" s="333"/>
    </row>
    <row r="534">
      <c r="E534" s="333"/>
    </row>
    <row r="535">
      <c r="E535" s="333"/>
    </row>
    <row r="536">
      <c r="E536" s="333"/>
    </row>
    <row r="537">
      <c r="E537" s="333"/>
    </row>
    <row r="538">
      <c r="E538" s="333"/>
    </row>
    <row r="539">
      <c r="E539" s="333"/>
    </row>
    <row r="540">
      <c r="E540" s="333"/>
    </row>
    <row r="541">
      <c r="E541" s="333"/>
    </row>
    <row r="542">
      <c r="E542" s="333"/>
    </row>
    <row r="543">
      <c r="E543" s="333"/>
    </row>
    <row r="544">
      <c r="E544" s="333"/>
    </row>
    <row r="545">
      <c r="E545" s="333"/>
    </row>
    <row r="546">
      <c r="E546" s="333"/>
    </row>
    <row r="547">
      <c r="E547" s="333"/>
    </row>
    <row r="548">
      <c r="E548" s="333"/>
    </row>
    <row r="549">
      <c r="E549" s="333"/>
    </row>
    <row r="550">
      <c r="E550" s="333"/>
    </row>
    <row r="551">
      <c r="E551" s="333"/>
    </row>
    <row r="552">
      <c r="E552" s="333"/>
    </row>
    <row r="553">
      <c r="E553" s="333"/>
    </row>
    <row r="554">
      <c r="E554" s="333"/>
    </row>
    <row r="555">
      <c r="E555" s="333"/>
    </row>
    <row r="556">
      <c r="E556" s="333"/>
    </row>
    <row r="557">
      <c r="E557" s="333"/>
    </row>
    <row r="558">
      <c r="E558" s="333"/>
    </row>
    <row r="559">
      <c r="E559" s="333"/>
    </row>
    <row r="560">
      <c r="E560" s="333"/>
    </row>
    <row r="561">
      <c r="E561" s="333"/>
    </row>
    <row r="562">
      <c r="E562" s="333"/>
    </row>
    <row r="563">
      <c r="E563" s="333"/>
    </row>
    <row r="564">
      <c r="E564" s="333"/>
    </row>
    <row r="565">
      <c r="E565" s="333"/>
    </row>
    <row r="566">
      <c r="E566" s="333"/>
    </row>
    <row r="567">
      <c r="E567" s="333"/>
    </row>
    <row r="568">
      <c r="E568" s="333"/>
    </row>
    <row r="569">
      <c r="E569" s="333"/>
    </row>
    <row r="570">
      <c r="E570" s="333"/>
    </row>
    <row r="571">
      <c r="E571" s="333"/>
    </row>
    <row r="572">
      <c r="E572" s="333"/>
    </row>
    <row r="573">
      <c r="E573" s="333"/>
    </row>
    <row r="574">
      <c r="E574" s="333"/>
    </row>
    <row r="575">
      <c r="E575" s="333"/>
    </row>
    <row r="576">
      <c r="E576" s="333"/>
    </row>
    <row r="577">
      <c r="E577" s="333"/>
    </row>
    <row r="578">
      <c r="E578" s="333"/>
    </row>
    <row r="579">
      <c r="E579" s="333"/>
    </row>
    <row r="580">
      <c r="E580" s="333"/>
    </row>
    <row r="581">
      <c r="E581" s="333"/>
    </row>
    <row r="582">
      <c r="E582" s="333"/>
    </row>
    <row r="583">
      <c r="E583" s="333"/>
    </row>
    <row r="584">
      <c r="E584" s="333"/>
    </row>
    <row r="585">
      <c r="E585" s="333"/>
    </row>
    <row r="586">
      <c r="E586" s="333"/>
    </row>
    <row r="587">
      <c r="E587" s="333"/>
    </row>
    <row r="588">
      <c r="E588" s="333"/>
    </row>
    <row r="589">
      <c r="E589" s="333"/>
    </row>
    <row r="590">
      <c r="E590" s="333"/>
    </row>
    <row r="591">
      <c r="E591" s="333"/>
    </row>
    <row r="592">
      <c r="E592" s="333"/>
    </row>
    <row r="593">
      <c r="E593" s="333"/>
    </row>
    <row r="594">
      <c r="E594" s="333"/>
    </row>
    <row r="595">
      <c r="E595" s="333"/>
    </row>
    <row r="596">
      <c r="E596" s="333"/>
    </row>
    <row r="597">
      <c r="E597" s="333"/>
    </row>
    <row r="598">
      <c r="E598" s="333"/>
    </row>
    <row r="599">
      <c r="E599" s="333"/>
    </row>
    <row r="600">
      <c r="E600" s="333"/>
    </row>
    <row r="601">
      <c r="E601" s="333"/>
    </row>
    <row r="602">
      <c r="E602" s="333"/>
    </row>
    <row r="603">
      <c r="E603" s="333"/>
    </row>
    <row r="604">
      <c r="E604" s="333"/>
    </row>
    <row r="605">
      <c r="E605" s="333"/>
    </row>
    <row r="606">
      <c r="E606" s="333"/>
    </row>
    <row r="607">
      <c r="E607" s="333"/>
    </row>
    <row r="608">
      <c r="E608" s="333"/>
    </row>
    <row r="609">
      <c r="E609" s="333"/>
    </row>
    <row r="610">
      <c r="E610" s="333"/>
    </row>
    <row r="611">
      <c r="E611" s="333"/>
    </row>
    <row r="612">
      <c r="E612" s="333"/>
    </row>
    <row r="613">
      <c r="E613" s="333"/>
    </row>
    <row r="614">
      <c r="E614" s="333"/>
    </row>
    <row r="615">
      <c r="E615" s="333"/>
    </row>
    <row r="616">
      <c r="E616" s="333"/>
    </row>
    <row r="617">
      <c r="E617" s="333"/>
    </row>
    <row r="618">
      <c r="E618" s="333"/>
    </row>
    <row r="619">
      <c r="E619" s="333"/>
    </row>
    <row r="620">
      <c r="E620" s="333"/>
    </row>
    <row r="621">
      <c r="E621" s="333"/>
    </row>
    <row r="622">
      <c r="E622" s="333"/>
    </row>
    <row r="623">
      <c r="E623" s="333"/>
    </row>
    <row r="624">
      <c r="E624" s="333"/>
    </row>
    <row r="625">
      <c r="E625" s="333"/>
    </row>
    <row r="626">
      <c r="E626" s="333"/>
    </row>
    <row r="627">
      <c r="E627" s="333"/>
    </row>
    <row r="628">
      <c r="E628" s="333"/>
    </row>
    <row r="629">
      <c r="E629" s="333"/>
    </row>
    <row r="630">
      <c r="E630" s="333"/>
    </row>
    <row r="631">
      <c r="E631" s="333"/>
    </row>
    <row r="632">
      <c r="E632" s="333"/>
    </row>
    <row r="633">
      <c r="E633" s="333"/>
    </row>
    <row r="634">
      <c r="E634" s="333"/>
    </row>
    <row r="635">
      <c r="E635" s="333"/>
    </row>
    <row r="636">
      <c r="E636" s="333"/>
    </row>
    <row r="637">
      <c r="E637" s="333"/>
    </row>
    <row r="638">
      <c r="E638" s="333"/>
    </row>
    <row r="639">
      <c r="E639" s="333"/>
    </row>
    <row r="640">
      <c r="E640" s="333"/>
    </row>
    <row r="641">
      <c r="E641" s="333"/>
    </row>
    <row r="642">
      <c r="E642" s="333"/>
    </row>
    <row r="643">
      <c r="E643" s="333"/>
    </row>
    <row r="644">
      <c r="E644" s="333"/>
    </row>
    <row r="645">
      <c r="E645" s="333"/>
    </row>
    <row r="646">
      <c r="E646" s="333"/>
    </row>
    <row r="647">
      <c r="E647" s="333"/>
    </row>
    <row r="648">
      <c r="E648" s="333"/>
    </row>
    <row r="649">
      <c r="E649" s="333"/>
    </row>
    <row r="650">
      <c r="E650" s="333"/>
    </row>
    <row r="651">
      <c r="E651" s="333"/>
    </row>
    <row r="652">
      <c r="E652" s="333"/>
    </row>
    <row r="653">
      <c r="E653" s="333"/>
    </row>
    <row r="654">
      <c r="E654" s="333"/>
    </row>
    <row r="655">
      <c r="E655" s="333"/>
    </row>
    <row r="656">
      <c r="E656" s="333"/>
    </row>
    <row r="657">
      <c r="E657" s="333"/>
    </row>
    <row r="658">
      <c r="E658" s="333"/>
    </row>
    <row r="659">
      <c r="E659" s="333"/>
    </row>
    <row r="660">
      <c r="E660" s="333"/>
    </row>
    <row r="661">
      <c r="E661" s="333"/>
    </row>
    <row r="662">
      <c r="E662" s="333"/>
    </row>
    <row r="663">
      <c r="E663" s="333"/>
    </row>
    <row r="664">
      <c r="E664" s="333"/>
    </row>
    <row r="665">
      <c r="E665" s="333"/>
    </row>
    <row r="666">
      <c r="E666" s="333"/>
    </row>
    <row r="667">
      <c r="E667" s="333"/>
    </row>
    <row r="668">
      <c r="E668" s="333"/>
    </row>
    <row r="669">
      <c r="E669" s="333"/>
    </row>
    <row r="670">
      <c r="E670" s="333"/>
    </row>
    <row r="671">
      <c r="E671" s="333"/>
    </row>
    <row r="672">
      <c r="E672" s="333"/>
    </row>
    <row r="673">
      <c r="E673" s="333"/>
    </row>
    <row r="674">
      <c r="E674" s="333"/>
    </row>
    <row r="675">
      <c r="E675" s="333"/>
    </row>
    <row r="676">
      <c r="E676" s="333"/>
    </row>
    <row r="677">
      <c r="E677" s="333"/>
    </row>
    <row r="678">
      <c r="E678" s="333"/>
    </row>
    <row r="679">
      <c r="E679" s="333"/>
    </row>
    <row r="680">
      <c r="E680" s="333"/>
    </row>
    <row r="681">
      <c r="E681" s="333"/>
    </row>
    <row r="682">
      <c r="E682" s="333"/>
    </row>
    <row r="683">
      <c r="E683" s="333"/>
    </row>
    <row r="684">
      <c r="E684" s="333"/>
    </row>
    <row r="685">
      <c r="E685" s="333"/>
    </row>
    <row r="686">
      <c r="E686" s="333"/>
    </row>
    <row r="687">
      <c r="E687" s="333"/>
    </row>
    <row r="688">
      <c r="E688" s="333"/>
    </row>
    <row r="689">
      <c r="E689" s="333"/>
    </row>
    <row r="690">
      <c r="E690" s="333"/>
    </row>
    <row r="691">
      <c r="E691" s="333"/>
    </row>
    <row r="692">
      <c r="E692" s="333"/>
    </row>
    <row r="693">
      <c r="E693" s="333"/>
    </row>
    <row r="694">
      <c r="E694" s="333"/>
    </row>
    <row r="695">
      <c r="E695" s="333"/>
    </row>
    <row r="696">
      <c r="E696" s="333"/>
    </row>
    <row r="697">
      <c r="E697" s="333"/>
    </row>
    <row r="698">
      <c r="E698" s="333"/>
    </row>
    <row r="699">
      <c r="E699" s="333"/>
    </row>
    <row r="700">
      <c r="E700" s="333"/>
    </row>
    <row r="701">
      <c r="E701" s="333"/>
    </row>
    <row r="702">
      <c r="E702" s="333"/>
    </row>
    <row r="703">
      <c r="E703" s="333"/>
    </row>
    <row r="704">
      <c r="E704" s="333"/>
    </row>
    <row r="705">
      <c r="E705" s="333"/>
    </row>
    <row r="706">
      <c r="E706" s="333"/>
    </row>
    <row r="707">
      <c r="E707" s="333"/>
    </row>
    <row r="708">
      <c r="E708" s="333"/>
    </row>
    <row r="709">
      <c r="E709" s="333"/>
    </row>
    <row r="710">
      <c r="E710" s="333"/>
    </row>
    <row r="711">
      <c r="E711" s="333"/>
    </row>
    <row r="712">
      <c r="E712" s="333"/>
    </row>
    <row r="713">
      <c r="E713" s="333"/>
    </row>
    <row r="714">
      <c r="E714" s="333"/>
    </row>
    <row r="715">
      <c r="E715" s="333"/>
    </row>
    <row r="716">
      <c r="E716" s="333"/>
    </row>
    <row r="717">
      <c r="E717" s="333"/>
    </row>
    <row r="718">
      <c r="E718" s="333"/>
    </row>
    <row r="719">
      <c r="E719" s="333"/>
    </row>
    <row r="720">
      <c r="E720" s="333"/>
    </row>
    <row r="721">
      <c r="E721" s="333"/>
    </row>
    <row r="722">
      <c r="E722" s="333"/>
    </row>
    <row r="723">
      <c r="E723" s="333"/>
    </row>
    <row r="724">
      <c r="E724" s="333"/>
    </row>
    <row r="725">
      <c r="E725" s="333"/>
    </row>
    <row r="726">
      <c r="E726" s="333"/>
    </row>
    <row r="727">
      <c r="E727" s="333"/>
    </row>
    <row r="728">
      <c r="E728" s="333"/>
    </row>
    <row r="729">
      <c r="E729" s="333"/>
    </row>
    <row r="730">
      <c r="E730" s="333"/>
    </row>
    <row r="731">
      <c r="E731" s="333"/>
    </row>
    <row r="732">
      <c r="E732" s="333"/>
    </row>
    <row r="733">
      <c r="E733" s="333"/>
    </row>
    <row r="734">
      <c r="E734" s="333"/>
    </row>
    <row r="735">
      <c r="E735" s="333"/>
    </row>
    <row r="736">
      <c r="E736" s="333"/>
    </row>
    <row r="737">
      <c r="E737" s="333"/>
    </row>
    <row r="738">
      <c r="E738" s="333"/>
    </row>
    <row r="739">
      <c r="E739" s="333"/>
    </row>
    <row r="740">
      <c r="E740" s="333"/>
    </row>
    <row r="741">
      <c r="E741" s="333"/>
    </row>
    <row r="742">
      <c r="E742" s="333"/>
    </row>
    <row r="743">
      <c r="E743" s="333"/>
    </row>
    <row r="744">
      <c r="E744" s="333"/>
    </row>
    <row r="745">
      <c r="E745" s="333"/>
    </row>
    <row r="746">
      <c r="E746" s="333"/>
    </row>
    <row r="747">
      <c r="E747" s="333"/>
    </row>
    <row r="748">
      <c r="E748" s="333"/>
    </row>
    <row r="749">
      <c r="E749" s="333"/>
    </row>
    <row r="750">
      <c r="E750" s="333"/>
    </row>
    <row r="751">
      <c r="E751" s="333"/>
    </row>
    <row r="752">
      <c r="E752" s="333"/>
    </row>
    <row r="753">
      <c r="E753" s="333"/>
    </row>
    <row r="754">
      <c r="E754" s="333"/>
    </row>
    <row r="755">
      <c r="E755" s="333"/>
    </row>
    <row r="756">
      <c r="E756" s="333"/>
    </row>
    <row r="757">
      <c r="E757" s="333"/>
    </row>
    <row r="758">
      <c r="E758" s="333"/>
    </row>
    <row r="759">
      <c r="E759" s="333"/>
    </row>
    <row r="760">
      <c r="E760" s="333"/>
    </row>
    <row r="761">
      <c r="E761" s="333"/>
    </row>
    <row r="762">
      <c r="E762" s="333"/>
    </row>
    <row r="763">
      <c r="E763" s="333"/>
    </row>
    <row r="764">
      <c r="E764" s="333"/>
    </row>
    <row r="765">
      <c r="E765" s="333"/>
    </row>
    <row r="766">
      <c r="E766" s="333"/>
    </row>
    <row r="767">
      <c r="E767" s="333"/>
    </row>
    <row r="768">
      <c r="E768" s="333"/>
    </row>
    <row r="769">
      <c r="E769" s="333"/>
    </row>
    <row r="770">
      <c r="E770" s="333"/>
    </row>
    <row r="771">
      <c r="E771" s="333"/>
    </row>
    <row r="772">
      <c r="E772" s="333"/>
    </row>
    <row r="773">
      <c r="E773" s="333"/>
    </row>
    <row r="774">
      <c r="E774" s="333"/>
    </row>
    <row r="775">
      <c r="E775" s="333"/>
    </row>
    <row r="776">
      <c r="E776" s="333"/>
    </row>
    <row r="777">
      <c r="E777" s="333"/>
    </row>
    <row r="778">
      <c r="E778" s="333"/>
    </row>
    <row r="779">
      <c r="E779" s="333"/>
    </row>
    <row r="780">
      <c r="E780" s="333"/>
    </row>
    <row r="781">
      <c r="E781" s="333"/>
    </row>
    <row r="782">
      <c r="E782" s="333"/>
    </row>
    <row r="783">
      <c r="E783" s="333"/>
    </row>
    <row r="784">
      <c r="E784" s="333"/>
    </row>
    <row r="785">
      <c r="E785" s="333"/>
    </row>
    <row r="786">
      <c r="E786" s="333"/>
    </row>
    <row r="787">
      <c r="E787" s="333"/>
    </row>
    <row r="788">
      <c r="E788" s="333"/>
    </row>
    <row r="789">
      <c r="E789" s="333"/>
    </row>
    <row r="790">
      <c r="E790" s="333"/>
    </row>
    <row r="791">
      <c r="E791" s="333"/>
    </row>
    <row r="792">
      <c r="E792" s="333"/>
    </row>
    <row r="793">
      <c r="E793" s="333"/>
    </row>
    <row r="794">
      <c r="E794" s="333"/>
    </row>
    <row r="795">
      <c r="E795" s="333"/>
    </row>
    <row r="796">
      <c r="E796" s="333"/>
    </row>
    <row r="797">
      <c r="E797" s="333"/>
    </row>
    <row r="798">
      <c r="E798" s="333"/>
    </row>
    <row r="799">
      <c r="E799" s="333"/>
    </row>
    <row r="800">
      <c r="E800" s="333"/>
    </row>
    <row r="801">
      <c r="E801" s="333"/>
    </row>
    <row r="802">
      <c r="E802" s="333"/>
    </row>
    <row r="803">
      <c r="E803" s="333"/>
    </row>
    <row r="804">
      <c r="E804" s="333"/>
    </row>
    <row r="805">
      <c r="E805" s="333"/>
    </row>
    <row r="806">
      <c r="E806" s="333"/>
    </row>
    <row r="807">
      <c r="E807" s="333"/>
    </row>
    <row r="808">
      <c r="E808" s="333"/>
    </row>
    <row r="809">
      <c r="E809" s="333"/>
    </row>
    <row r="810">
      <c r="E810" s="333"/>
    </row>
    <row r="811">
      <c r="E811" s="333"/>
    </row>
    <row r="812">
      <c r="E812" s="333"/>
    </row>
    <row r="813">
      <c r="E813" s="333"/>
    </row>
    <row r="814">
      <c r="E814" s="333"/>
    </row>
    <row r="815">
      <c r="E815" s="333"/>
    </row>
    <row r="816">
      <c r="E816" s="333"/>
    </row>
    <row r="817">
      <c r="E817" s="333"/>
    </row>
    <row r="818">
      <c r="E818" s="333"/>
    </row>
    <row r="819">
      <c r="E819" s="333"/>
    </row>
    <row r="820">
      <c r="E820" s="333"/>
    </row>
    <row r="821">
      <c r="E821" s="333"/>
    </row>
    <row r="822">
      <c r="E822" s="333"/>
    </row>
    <row r="823">
      <c r="E823" s="333"/>
    </row>
    <row r="824">
      <c r="E824" s="333"/>
    </row>
    <row r="825">
      <c r="E825" s="333"/>
    </row>
    <row r="826">
      <c r="E826" s="333"/>
    </row>
    <row r="827">
      <c r="E827" s="333"/>
    </row>
    <row r="828">
      <c r="E828" s="333"/>
    </row>
    <row r="829">
      <c r="E829" s="333"/>
    </row>
    <row r="830">
      <c r="E830" s="333"/>
    </row>
    <row r="831">
      <c r="E831" s="333"/>
    </row>
    <row r="832">
      <c r="E832" s="333"/>
    </row>
    <row r="833">
      <c r="E833" s="333"/>
    </row>
    <row r="834">
      <c r="E834" s="333"/>
    </row>
    <row r="835">
      <c r="E835" s="333"/>
    </row>
    <row r="836">
      <c r="E836" s="333"/>
    </row>
    <row r="837">
      <c r="E837" s="333"/>
    </row>
    <row r="838">
      <c r="E838" s="333"/>
    </row>
    <row r="839">
      <c r="E839" s="333"/>
    </row>
    <row r="840">
      <c r="E840" s="333"/>
    </row>
    <row r="841">
      <c r="E841" s="333"/>
    </row>
    <row r="842">
      <c r="E842" s="333"/>
    </row>
    <row r="843">
      <c r="E843" s="333"/>
    </row>
    <row r="844">
      <c r="E844" s="333"/>
    </row>
    <row r="845">
      <c r="E845" s="333"/>
    </row>
    <row r="846">
      <c r="E846" s="333"/>
    </row>
    <row r="847">
      <c r="E847" s="333"/>
    </row>
    <row r="848">
      <c r="E848" s="333"/>
    </row>
    <row r="849">
      <c r="E849" s="333"/>
    </row>
    <row r="850">
      <c r="E850" s="333"/>
    </row>
    <row r="851">
      <c r="E851" s="333"/>
    </row>
    <row r="852">
      <c r="E852" s="333"/>
    </row>
    <row r="853">
      <c r="E853" s="333"/>
    </row>
    <row r="854">
      <c r="E854" s="333"/>
    </row>
    <row r="855">
      <c r="E855" s="333"/>
    </row>
    <row r="856">
      <c r="E856" s="333"/>
    </row>
    <row r="857">
      <c r="E857" s="333"/>
    </row>
    <row r="858">
      <c r="E858" s="333"/>
    </row>
    <row r="859">
      <c r="E859" s="333"/>
    </row>
    <row r="860">
      <c r="E860" s="333"/>
    </row>
    <row r="861">
      <c r="E861" s="333"/>
    </row>
    <row r="862">
      <c r="E862" s="333"/>
    </row>
    <row r="863">
      <c r="E863" s="333"/>
    </row>
    <row r="864">
      <c r="E864" s="333"/>
    </row>
    <row r="865">
      <c r="E865" s="333"/>
    </row>
    <row r="866">
      <c r="E866" s="333"/>
    </row>
    <row r="867">
      <c r="E867" s="333"/>
    </row>
    <row r="868">
      <c r="E868" s="333"/>
    </row>
    <row r="869">
      <c r="E869" s="333"/>
    </row>
    <row r="870">
      <c r="E870" s="333"/>
    </row>
    <row r="871">
      <c r="E871" s="333"/>
    </row>
    <row r="872">
      <c r="E872" s="333"/>
    </row>
    <row r="873">
      <c r="E873" s="333"/>
    </row>
    <row r="874">
      <c r="E874" s="333"/>
    </row>
    <row r="875">
      <c r="E875" s="333"/>
    </row>
    <row r="876">
      <c r="E876" s="333"/>
    </row>
    <row r="877">
      <c r="E877" s="333"/>
    </row>
    <row r="878">
      <c r="E878" s="333"/>
    </row>
    <row r="879">
      <c r="E879" s="333"/>
    </row>
    <row r="880">
      <c r="E880" s="333"/>
    </row>
    <row r="881">
      <c r="E881" s="333"/>
    </row>
    <row r="882">
      <c r="E882" s="333"/>
    </row>
    <row r="883">
      <c r="E883" s="333"/>
    </row>
    <row r="884">
      <c r="E884" s="333"/>
    </row>
    <row r="885">
      <c r="E885" s="333"/>
    </row>
    <row r="886">
      <c r="E886" s="333"/>
    </row>
    <row r="887">
      <c r="E887" s="333"/>
    </row>
    <row r="888">
      <c r="E888" s="333"/>
    </row>
    <row r="889">
      <c r="E889" s="333"/>
    </row>
    <row r="890">
      <c r="E890" s="333"/>
    </row>
    <row r="891">
      <c r="E891" s="333"/>
    </row>
    <row r="892">
      <c r="E892" s="333"/>
    </row>
    <row r="893">
      <c r="E893" s="333"/>
    </row>
    <row r="894">
      <c r="E894" s="333"/>
    </row>
    <row r="895">
      <c r="E895" s="333"/>
    </row>
    <row r="896">
      <c r="E896" s="333"/>
    </row>
    <row r="897">
      <c r="E897" s="333"/>
    </row>
    <row r="898">
      <c r="E898" s="333"/>
    </row>
    <row r="899">
      <c r="E899" s="333"/>
    </row>
    <row r="900">
      <c r="E900" s="333"/>
    </row>
    <row r="901">
      <c r="E901" s="333"/>
    </row>
    <row r="902">
      <c r="E902" s="333"/>
    </row>
    <row r="903">
      <c r="E903" s="333"/>
    </row>
    <row r="904">
      <c r="E904" s="333"/>
    </row>
    <row r="905">
      <c r="E905" s="333"/>
    </row>
    <row r="906">
      <c r="E906" s="333"/>
    </row>
    <row r="907">
      <c r="E907" s="333"/>
    </row>
    <row r="908">
      <c r="E908" s="333"/>
    </row>
    <row r="909">
      <c r="E909" s="333"/>
    </row>
    <row r="910">
      <c r="E910" s="333"/>
    </row>
    <row r="911">
      <c r="E911" s="333"/>
    </row>
    <row r="912">
      <c r="E912" s="333"/>
    </row>
    <row r="913">
      <c r="E913" s="333"/>
    </row>
    <row r="914">
      <c r="E914" s="333"/>
    </row>
    <row r="915">
      <c r="E915" s="333"/>
    </row>
    <row r="916">
      <c r="E916" s="333"/>
    </row>
    <row r="917">
      <c r="E917" s="333"/>
    </row>
    <row r="918">
      <c r="E918" s="333"/>
    </row>
    <row r="919">
      <c r="E919" s="333"/>
    </row>
    <row r="920">
      <c r="E920" s="333"/>
    </row>
    <row r="921">
      <c r="E921" s="333"/>
    </row>
    <row r="922">
      <c r="E922" s="333"/>
    </row>
    <row r="923">
      <c r="E923" s="333"/>
    </row>
    <row r="924">
      <c r="E924" s="333"/>
    </row>
    <row r="925">
      <c r="E925" s="333"/>
    </row>
    <row r="926">
      <c r="E926" s="333"/>
    </row>
    <row r="927">
      <c r="E927" s="333"/>
    </row>
    <row r="928">
      <c r="E928" s="333"/>
    </row>
    <row r="929">
      <c r="E929" s="333"/>
    </row>
    <row r="930">
      <c r="E930" s="333"/>
    </row>
    <row r="931">
      <c r="E931" s="333"/>
    </row>
    <row r="932">
      <c r="E932" s="333"/>
    </row>
    <row r="933">
      <c r="E933" s="333"/>
    </row>
    <row r="934">
      <c r="E934" s="333"/>
    </row>
    <row r="935">
      <c r="E935" s="333"/>
    </row>
    <row r="936">
      <c r="E936" s="333"/>
    </row>
    <row r="937">
      <c r="E937" s="333"/>
    </row>
    <row r="938">
      <c r="E938" s="333"/>
    </row>
    <row r="939">
      <c r="E939" s="333"/>
    </row>
    <row r="940">
      <c r="E940" s="333"/>
    </row>
    <row r="941">
      <c r="E941" s="333"/>
    </row>
    <row r="942">
      <c r="E942" s="333"/>
    </row>
    <row r="943">
      <c r="E943" s="333"/>
    </row>
    <row r="944">
      <c r="E944" s="333"/>
    </row>
    <row r="945">
      <c r="E945" s="333"/>
    </row>
    <row r="946">
      <c r="E946" s="333"/>
    </row>
    <row r="947">
      <c r="E947" s="333"/>
    </row>
    <row r="948">
      <c r="E948" s="333"/>
    </row>
    <row r="949">
      <c r="E949" s="333"/>
    </row>
    <row r="950">
      <c r="E950" s="333"/>
    </row>
    <row r="951">
      <c r="E951" s="333"/>
    </row>
    <row r="952">
      <c r="E952" s="333"/>
    </row>
    <row r="953">
      <c r="E953" s="333"/>
    </row>
    <row r="954">
      <c r="E954" s="333"/>
    </row>
    <row r="955">
      <c r="E955" s="333"/>
    </row>
    <row r="956">
      <c r="E956" s="333"/>
    </row>
    <row r="957">
      <c r="E957" s="333"/>
    </row>
    <row r="958">
      <c r="E958" s="333"/>
    </row>
    <row r="959">
      <c r="E959" s="333"/>
    </row>
    <row r="960">
      <c r="E960" s="333"/>
    </row>
    <row r="961">
      <c r="E961" s="333"/>
    </row>
    <row r="962">
      <c r="E962" s="333"/>
    </row>
    <row r="963">
      <c r="E963" s="333"/>
    </row>
    <row r="964">
      <c r="E964" s="333"/>
    </row>
    <row r="965">
      <c r="E965" s="333"/>
    </row>
    <row r="966">
      <c r="E966" s="333"/>
    </row>
    <row r="967">
      <c r="E967" s="333"/>
    </row>
    <row r="968">
      <c r="E968" s="333"/>
    </row>
    <row r="969">
      <c r="E969" s="333"/>
    </row>
    <row r="970">
      <c r="E970" s="333"/>
    </row>
    <row r="971">
      <c r="E971" s="333"/>
    </row>
    <row r="972">
      <c r="E972" s="333"/>
    </row>
    <row r="973">
      <c r="E973" s="333"/>
    </row>
    <row r="974">
      <c r="E974" s="333"/>
    </row>
    <row r="975">
      <c r="E975" s="333"/>
    </row>
    <row r="976">
      <c r="E976" s="333"/>
    </row>
    <row r="977">
      <c r="E977" s="333"/>
    </row>
    <row r="978">
      <c r="E978" s="333"/>
    </row>
    <row r="979">
      <c r="E979" s="333"/>
    </row>
    <row r="980">
      <c r="E980" s="333"/>
    </row>
    <row r="981">
      <c r="E981" s="333"/>
    </row>
    <row r="982">
      <c r="E982" s="333"/>
    </row>
    <row r="983">
      <c r="E983" s="333"/>
    </row>
    <row r="984">
      <c r="E984" s="333"/>
    </row>
    <row r="985">
      <c r="E985" s="333"/>
    </row>
    <row r="986">
      <c r="E986" s="333"/>
    </row>
    <row r="987">
      <c r="E987" s="333"/>
    </row>
    <row r="988">
      <c r="E988" s="333"/>
    </row>
    <row r="989">
      <c r="E989" s="333"/>
    </row>
    <row r="990">
      <c r="E990" s="333"/>
    </row>
    <row r="991">
      <c r="E991" s="333"/>
    </row>
    <row r="992">
      <c r="E992" s="333"/>
    </row>
    <row r="993">
      <c r="E993" s="333"/>
    </row>
    <row r="994">
      <c r="E994" s="333"/>
    </row>
    <row r="995">
      <c r="E995" s="333"/>
    </row>
    <row r="996">
      <c r="E996" s="333"/>
    </row>
    <row r="997">
      <c r="E997" s="333"/>
    </row>
    <row r="998">
      <c r="E998" s="333"/>
    </row>
    <row r="999">
      <c r="E999" s="333"/>
    </row>
    <row r="1000">
      <c r="E1000" s="33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88"/>
    <col customWidth="1" min="3" max="6" width="12.63"/>
  </cols>
  <sheetData>
    <row r="1" ht="15.75" customHeight="1"/>
    <row r="2" ht="15.75" customHeight="1">
      <c r="A2" s="340" t="s">
        <v>1201</v>
      </c>
      <c r="B2" s="341" t="s">
        <v>1202</v>
      </c>
      <c r="C2" s="340" t="s">
        <v>1203</v>
      </c>
      <c r="D2" s="340" t="s">
        <v>1204</v>
      </c>
    </row>
    <row r="3" ht="15.75" customHeight="1">
      <c r="A3" s="342"/>
      <c r="B3" s="343" t="s">
        <v>1205</v>
      </c>
      <c r="C3" s="342"/>
      <c r="D3" s="342"/>
    </row>
    <row r="4" ht="15.75" customHeight="1">
      <c r="A4" s="344" t="s">
        <v>1206</v>
      </c>
      <c r="B4" s="345" t="s">
        <v>1207</v>
      </c>
      <c r="C4" s="346">
        <f>PURCHASES!L377</f>
        <v>1476737831</v>
      </c>
      <c r="D4" s="347"/>
    </row>
    <row r="5" ht="15.75" customHeight="1">
      <c r="A5" s="344" t="s">
        <v>1208</v>
      </c>
      <c r="B5" s="345" t="s">
        <v>1209</v>
      </c>
      <c r="C5" s="348"/>
      <c r="D5" s="349" t="str">
        <f>PURCHASES!K380</f>
        <v/>
      </c>
    </row>
    <row r="6" ht="15.75" customHeight="1">
      <c r="A6" s="350">
        <v>11411.0</v>
      </c>
      <c r="B6" s="351" t="s">
        <v>1210</v>
      </c>
      <c r="C6" s="352" t="str">
        <f>PURCHASES!J380</f>
        <v/>
      </c>
      <c r="D6" s="347"/>
    </row>
    <row r="7" ht="15.75" customHeight="1">
      <c r="A7" s="350">
        <v>21111.0</v>
      </c>
      <c r="B7" s="351" t="s">
        <v>1211</v>
      </c>
      <c r="C7" s="348"/>
      <c r="D7" s="353">
        <f>SUM(C4:C7)-SUM(D4:D6)</f>
        <v>1476737831</v>
      </c>
    </row>
    <row r="8" ht="15.75" customHeight="1">
      <c r="A8" s="342"/>
      <c r="B8" s="354"/>
      <c r="C8" s="348"/>
      <c r="D8" s="347"/>
    </row>
    <row r="9" ht="15.75" customHeight="1">
      <c r="A9" s="342"/>
      <c r="B9" s="342"/>
      <c r="C9" s="348"/>
      <c r="D9" s="347"/>
    </row>
    <row r="10" ht="15.75" customHeight="1">
      <c r="A10" s="342"/>
      <c r="B10" s="342"/>
      <c r="C10" s="348"/>
      <c r="D10" s="347"/>
    </row>
    <row r="11" ht="15.75" customHeight="1">
      <c r="A11" s="342"/>
      <c r="B11" s="342"/>
      <c r="C11" s="348"/>
      <c r="D11" s="347"/>
    </row>
    <row r="12" ht="15.75" customHeight="1">
      <c r="A12" s="342"/>
      <c r="B12" s="342"/>
      <c r="C12" s="348"/>
      <c r="D12" s="347"/>
    </row>
    <row r="13" ht="15.75" customHeight="1">
      <c r="A13" s="342"/>
      <c r="B13" s="342"/>
      <c r="C13" s="348"/>
      <c r="D13" s="347"/>
    </row>
    <row r="14" ht="15.75" customHeight="1">
      <c r="A14" s="342"/>
      <c r="B14" s="342"/>
      <c r="C14" s="348"/>
      <c r="D14" s="347"/>
    </row>
    <row r="15" ht="15.75" customHeight="1">
      <c r="A15" s="342"/>
      <c r="B15" s="342"/>
      <c r="C15" s="348"/>
      <c r="D15" s="347"/>
    </row>
    <row r="16" ht="15.75" customHeight="1">
      <c r="A16" s="342"/>
      <c r="B16" s="342"/>
      <c r="C16" s="348"/>
      <c r="D16" s="347"/>
      <c r="H16" s="10" t="s">
        <v>1212</v>
      </c>
    </row>
    <row r="17" ht="15.75" customHeight="1">
      <c r="A17" s="342"/>
      <c r="B17" s="342"/>
      <c r="C17" s="348"/>
      <c r="D17" s="347"/>
    </row>
    <row r="18" ht="15.75" customHeight="1">
      <c r="A18" s="342"/>
      <c r="B18" s="342"/>
      <c r="C18" s="348"/>
      <c r="D18" s="347"/>
      <c r="I18" s="10" t="s">
        <v>1207</v>
      </c>
      <c r="K18" s="10">
        <v>10.0</v>
      </c>
    </row>
    <row r="19" ht="15.75" customHeight="1">
      <c r="A19" s="342"/>
      <c r="B19" s="342"/>
      <c r="C19" s="348"/>
      <c r="D19" s="347"/>
      <c r="J19" s="10" t="s">
        <v>1213</v>
      </c>
      <c r="L19" s="10">
        <v>10.0</v>
      </c>
    </row>
    <row r="20" ht="15.75" customHeight="1">
      <c r="A20" s="342"/>
      <c r="B20" s="342"/>
      <c r="C20" s="348"/>
      <c r="D20" s="347"/>
    </row>
    <row r="21" ht="15.75" customHeight="1">
      <c r="A21" s="342"/>
      <c r="B21" s="342"/>
      <c r="C21" s="348"/>
      <c r="D21" s="347"/>
    </row>
    <row r="22" ht="15.75" customHeight="1">
      <c r="A22" s="355"/>
      <c r="B22" s="355"/>
      <c r="C22" s="356"/>
      <c r="D22" s="356"/>
    </row>
    <row r="23" ht="15.75" customHeight="1">
      <c r="A23" s="357"/>
      <c r="B23" s="358"/>
      <c r="C23" s="359">
        <f t="shared" ref="C23:D23" si="1">SUM(C4:C22)</f>
        <v>1476737831</v>
      </c>
      <c r="D23" s="359">
        <f t="shared" si="1"/>
        <v>1476737831</v>
      </c>
      <c r="I23" s="10" t="s">
        <v>1214</v>
      </c>
      <c r="K23" s="10">
        <v>10.0</v>
      </c>
    </row>
    <row r="24" ht="15.75" customHeight="1">
      <c r="J24" s="10" t="s">
        <v>1186</v>
      </c>
      <c r="L24" s="10">
        <v>10.0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